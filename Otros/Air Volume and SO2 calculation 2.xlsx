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Marino_orsi\Desktop\"/>
    </mc:Choice>
  </mc:AlternateContent>
  <xr:revisionPtr revIDLastSave="0" documentId="13_ncr:1_{3278A587-5806-4596-B2FA-FB13CE8E0D19}" xr6:coauthVersionLast="47" xr6:coauthVersionMax="47" xr10:uidLastSave="{00000000-0000-0000-0000-000000000000}"/>
  <bookViews>
    <workbookView xWindow="-28920" yWindow="-120" windowWidth="29040" windowHeight="15840" activeTab="3" xr2:uid="{B339842D-3CC2-4B8A-B1B8-DB5183B97A11}"/>
  </bookViews>
  <sheets>
    <sheet name="Air Volume" sheetId="1" r:id="rId1"/>
    <sheet name="SO2 calculation" sheetId="2" r:id="rId2"/>
    <sheet name="Air Volume test" sheetId="3" r:id="rId3"/>
    <sheet name="SO2 calculation test" sheetId="4" r:id="rId4"/>
    <sheet name="Planilha3"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4" l="1"/>
  <c r="I14" i="4" s="1"/>
  <c r="N14" i="4" s="1"/>
  <c r="O14" i="4" s="1"/>
  <c r="E14" i="4"/>
  <c r="Q49" i="4"/>
  <c r="H12" i="4"/>
  <c r="I12" i="4" s="1"/>
  <c r="N12" i="4" s="1"/>
  <c r="O12" i="4" s="1"/>
  <c r="E12" i="4"/>
  <c r="H11" i="4"/>
  <c r="I11" i="4" s="1"/>
  <c r="N11" i="4" s="1"/>
  <c r="O11" i="4" s="1"/>
  <c r="E11" i="4"/>
  <c r="H10" i="4"/>
  <c r="I10" i="4" s="1"/>
  <c r="N10" i="4" s="1"/>
  <c r="O10" i="4" s="1"/>
  <c r="E10" i="4"/>
  <c r="H52" i="4"/>
  <c r="E52" i="4"/>
  <c r="H51" i="4"/>
  <c r="E51" i="4"/>
  <c r="H50" i="4"/>
  <c r="E50" i="4"/>
  <c r="K52" i="4"/>
  <c r="K51" i="4"/>
  <c r="K50" i="4"/>
  <c r="K49" i="4"/>
  <c r="H27" i="3"/>
  <c r="H26" i="3"/>
  <c r="H25" i="3"/>
  <c r="E27" i="3"/>
  <c r="E26" i="3"/>
  <c r="E25" i="3"/>
  <c r="H13" i="3"/>
  <c r="H12" i="3"/>
  <c r="H11" i="3"/>
  <c r="I13" i="1"/>
  <c r="I12" i="1"/>
  <c r="I11" i="1"/>
  <c r="Q25" i="1"/>
  <c r="H12" i="2"/>
  <c r="H15" i="2"/>
  <c r="H14" i="2"/>
  <c r="H13" i="2"/>
  <c r="K32" i="2"/>
  <c r="K31" i="2"/>
  <c r="K30" i="2"/>
  <c r="K29" i="2"/>
  <c r="H27" i="1"/>
  <c r="H26" i="1"/>
  <c r="G27" i="1"/>
  <c r="G26" i="1"/>
  <c r="G25" i="1"/>
  <c r="H25" i="1" s="1"/>
  <c r="E29" i="2"/>
  <c r="E31" i="2"/>
  <c r="J31" i="2" s="1"/>
  <c r="E30" i="2"/>
  <c r="E32" i="2"/>
  <c r="J32" i="2"/>
  <c r="G15" i="2"/>
  <c r="H43" i="1"/>
  <c r="H42" i="1"/>
  <c r="H41" i="1"/>
  <c r="G13" i="1"/>
  <c r="H13" i="1" s="1"/>
  <c r="G12" i="1"/>
  <c r="H12" i="1" s="1"/>
  <c r="H11" i="1"/>
  <c r="L50" i="4" l="1"/>
  <c r="Q50" i="4" s="1"/>
  <c r="R50" i="4" s="1"/>
  <c r="L51" i="4"/>
  <c r="Q51" i="4" s="1"/>
  <c r="R51" i="4" s="1"/>
  <c r="L52" i="4"/>
  <c r="Q52" i="4" s="1"/>
  <c r="R52" i="4" s="1"/>
</calcChain>
</file>

<file path=xl/sharedStrings.xml><?xml version="1.0" encoding="utf-8"?>
<sst xmlns="http://schemas.openxmlformats.org/spreadsheetml/2006/main" count="297" uniqueCount="104">
  <si>
    <t>[DGM_Coeff;Final Value]*(298.15/760)*[ActualVolume;Final Value]*(([AtmosphericPressure;Final Value]+[ActualOrifice;Final Value]/13.6)/[MeterTemperature;Final Value])</t>
  </si>
  <si>
    <t>Multiplier</t>
  </si>
  <si>
    <t>Parameter</t>
  </si>
  <si>
    <t>Formula</t>
  </si>
  <si>
    <t>Simplified Formula</t>
  </si>
  <si>
    <t>DGM Coefficient * (298.15/760) * Air Volume *( (Atmospheric Pressure + dH / 13.6) / Temperature)</t>
  </si>
  <si>
    <t>Parameter List</t>
  </si>
  <si>
    <t>Field_Condition_ASE</t>
  </si>
  <si>
    <t>Notes</t>
  </si>
  <si>
    <t>Formula based on SNI 7117.17</t>
  </si>
  <si>
    <t>Example:</t>
  </si>
  <si>
    <t>UNK1</t>
  </si>
  <si>
    <t>UNK2</t>
  </si>
  <si>
    <t>UNK3</t>
  </si>
  <si>
    <t>DGM_Coeff</t>
  </si>
  <si>
    <t>Air Volume</t>
  </si>
  <si>
    <t>Atmospheric Pressure</t>
  </si>
  <si>
    <t>dH</t>
  </si>
  <si>
    <t>Temperature</t>
  </si>
  <si>
    <t>To be defined</t>
  </si>
  <si>
    <t>Air Volume * (298 / (273 + Temperature)) * ((Atmospheric Pressure + Manometer Pressure - Saturated Water Vapor Temperature) / 760)</t>
  </si>
  <si>
    <t>Manometer Pressure</t>
  </si>
  <si>
    <t>Saturated Water Vapor Pressure</t>
  </si>
  <si>
    <t>Formula based on SNI 7117.18</t>
  </si>
  <si>
    <t>This formula is used to calculate the corrected air volume to 760 mmHg and 25°C from the measured air volume at the temperature and pressure from the time of sampling, also considering variables related to the sampling</t>
  </si>
  <si>
    <t>equipment (pressure on the gas meter manometer and the saturated water vapor pressure at the sampling temperature). The formula expects the temperature in °C.</t>
  </si>
  <si>
    <r>
      <t xml:space="preserve">According to the method, if a </t>
    </r>
    <r>
      <rPr>
        <i/>
        <sz val="11"/>
        <color theme="1"/>
        <rFont val="Calibri"/>
        <family val="2"/>
        <scheme val="minor"/>
      </rPr>
      <t>Dry</t>
    </r>
    <r>
      <rPr>
        <sz val="11"/>
        <color theme="1"/>
        <rFont val="Calibri"/>
        <family val="2"/>
        <scheme val="minor"/>
      </rPr>
      <t xml:space="preserve"> Gas Meter is used during sample, the Saturated Water Vapor Temperature should considered as 0, but if not, the Pv value from annex A should be considered. Annex A has two different columns,</t>
    </r>
  </si>
  <si>
    <t>named 0 and 5, for the Pv value, but it's not clear which column should be considered, nor if it's always the same columns or if there is some situation that ditates which column should the value be taken from.</t>
  </si>
  <si>
    <t>equipment (dH and DGM coefficient). The formula expects the temperature in Kelvin (K), if the temperature should be in °C, the formula must be modified to accomodate the conversion (K = °C + 273.15).</t>
  </si>
  <si>
    <t>Sample Volume</t>
  </si>
  <si>
    <t>SNI19_7117_18_ASE</t>
  </si>
  <si>
    <t>7446-09-5</t>
  </si>
  <si>
    <t>(64/96) * (nUnkStandard - nMBStandard) * nDf * (250 / nSampleVolume) * nMultiplier * 1000</t>
  </si>
  <si>
    <t>(64/96) * (Sample Reading - Blank Reading) * Dilution Factor * (250 / Sample Volume) * Multiplier * 1000</t>
  </si>
  <si>
    <t>Sample Reading</t>
  </si>
  <si>
    <t>Blank Reading</t>
  </si>
  <si>
    <t>Dilution Factor</t>
  </si>
  <si>
    <t>Blank</t>
  </si>
  <si>
    <t>see note A</t>
  </si>
  <si>
    <t>A) Blank Reading is not an actual parameter, but the value from the 7446-09-5[Standard] of the blank (MB) sample of the QCBatch. It's presence in the example below is for simplification only.</t>
  </si>
  <si>
    <t>see note B</t>
  </si>
  <si>
    <t>B) The Multiplier value is the inverse of corrected sampled air volume from the field conditions parameter list. The multiplier used for this example were taken from QCB20230927-00001 (Test)</t>
  </si>
  <si>
    <t>see note C</t>
  </si>
  <si>
    <t>SNI19_7117_18_Cor_ASE</t>
  </si>
  <si>
    <t>(64/96) * (nUnkStandard - nMBStandard) * nDf * (250 / nSampleVolume) * nMultiplier * 1000 * ((20.9 - [O2Ref;Final Value]) / (20.9 - [O2Act;Final Value]))</t>
  </si>
  <si>
    <t>O2 Reference</t>
  </si>
  <si>
    <t>O2 Value</t>
  </si>
  <si>
    <t>O2 Cor</t>
  </si>
  <si>
    <t>B) The Multiplier value is the inverse of corrected sampled air volume, from the field conditions parameter list, multiplied by the O2 Correction Factor, from the SGSIH_O2Cor_ASE parameter list. The multiplier and O2Cor</t>
  </si>
  <si>
    <t>used for this example were taken from QCB20230927-00001 (Test) and S-230927-00004 (Test)</t>
  </si>
  <si>
    <t>D) The (20.9-[O2Ref;Final Value])/(20.9-[O2Act;Final Value]) calculation is calculate on SGSIH_O2Cor_ASE parameter list; only the O2 Correction Factor (O2Cor) is present on the actual formula.</t>
  </si>
  <si>
    <t>see note D</t>
  </si>
  <si>
    <t>Formula based on Bogor MDCT</t>
  </si>
  <si>
    <t>(Flow * Sampling Time * Atmospheric Pressure * 298) / ((Temperature + 273) * 760)</t>
  </si>
  <si>
    <t>Flow</t>
  </si>
  <si>
    <t>Sampling Time</t>
  </si>
  <si>
    <t>This formula is used to calculate the corrected air volume to 760 mmHg and 25°C from the measured air volume at the temperature and pressure from the time of sampling. The sample volume is calculated from the sampling time and</t>
  </si>
  <si>
    <t>sampling air flow. The formula expects the temperature in °C.</t>
  </si>
  <si>
    <t>m³</t>
  </si>
  <si>
    <t>°C</t>
  </si>
  <si>
    <t>mmHg</t>
  </si>
  <si>
    <t>L/min</t>
  </si>
  <si>
    <t>min</t>
  </si>
  <si>
    <t>inHg</t>
  </si>
  <si>
    <t>K</t>
  </si>
  <si>
    <t>L</t>
  </si>
  <si>
    <t>mg</t>
  </si>
  <si>
    <t>mL</t>
  </si>
  <si>
    <t>1/L</t>
  </si>
  <si>
    <t>C) The value is different from those shown on QCB20230927-00001 Data Entry due rounding differences - the raw value (without rouding/formatting) is the same (available from the Calc Report button). The calculation expects</t>
  </si>
  <si>
    <t>***AS IS***</t>
  </si>
  <si>
    <t>the multiplier (inverse of the sample volume) to be in Liters; if the volume is in cubic meters, the formula should be modified (the "1000" multiplier should be removed), if not, the current multiplier calculation should be corrected.</t>
  </si>
  <si>
    <t>* Dry Gas Meter</t>
  </si>
  <si>
    <t>(64/96) * (Sample Reading - Blank Reading) * Dilution Factor * (250 / Sample Volume) * Multiplier * ((20.9 - O2 Reference) / (20.9 - O2 Value))</t>
  </si>
  <si>
    <t>3
no to be used</t>
  </si>
  <si>
    <t>volume = flow * sampling time</t>
  </si>
  <si>
    <t>volume</t>
  </si>
  <si>
    <t>flow</t>
  </si>
  <si>
    <t>sampling time</t>
  </si>
  <si>
    <t>multiplier</t>
  </si>
  <si>
    <t>Groovy</t>
  </si>
  <si>
    <t>equipment (dH and DGM coefficient).</t>
  </si>
  <si>
    <t>S-231005-00059</t>
  </si>
  <si>
    <t>DGM Coefficient * (298.15/760) * Air Volume *( (Atmospheric Pressure + dH / 13.6) / Temperature) / 1000</t>
  </si>
  <si>
    <t>S-231005-00060</t>
  </si>
  <si>
    <t>S-231005-00061</t>
  </si>
  <si>
    <t>Sampling_Isokinetic_ASE</t>
  </si>
  <si>
    <t>Sampling_ASE</t>
  </si>
  <si>
    <t>sampling air flow.</t>
  </si>
  <si>
    <t>Volume</t>
  </si>
  <si>
    <t>(Flow * Sampling Time * Atmospheric Pressure * 298) / ((Temperature + 273) * 760) / 1000</t>
  </si>
  <si>
    <t>1/Multiplier</t>
  </si>
  <si>
    <t>(64/96) * (Sample Reading - Blank Reading) * Dilution Factor * (250 / Sample Volume) * Multiplier</t>
  </si>
  <si>
    <t>S-231005-00168</t>
  </si>
  <si>
    <t>S-231005-00169</t>
  </si>
  <si>
    <t>S-231005-00170</t>
  </si>
  <si>
    <t>N/A</t>
  </si>
  <si>
    <t>mg/Nm³</t>
  </si>
  <si>
    <t>(2 sig fig)</t>
  </si>
  <si>
    <t>S-231006-00114</t>
  </si>
  <si>
    <t>1
only for particulate matter</t>
  </si>
  <si>
    <t>2
only for sulphur dioxide</t>
  </si>
  <si>
    <t>S-231006-00113</t>
  </si>
  <si>
    <t>*** added conditional to allow execution outside QCBatch and/or without MB QC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</si>
</sst>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
    <numFmt numFmtId="165" formatCode="0.0000"/>
    <numFmt numFmtId="166" formatCode="0.0"/>
    <numFmt numFmtId="167" formatCode="0.000"/>
  </numFmts>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0" tint="-0.14999847407452621"/>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9">
    <xf numFmtId="0" fontId="0" fillId="0" borderId="0" xfId="0"/>
    <xf numFmtId="0" fontId="1" fillId="0" borderId="0" xfId="0" applyFont="1"/>
    <xf numFmtId="0" fontId="0" fillId="0" borderId="0" xfId="0" applyAlignment="1">
      <alignment horizontal="center"/>
    </xf>
    <xf numFmtId="166" fontId="0" fillId="0" borderId="0" xfId="0" applyNumberFormat="1" applyAlignment="1">
      <alignment horizontal="center"/>
    </xf>
    <xf numFmtId="165" fontId="0" fillId="0" borderId="0" xfId="0" applyNumberFormat="1" applyAlignment="1">
      <alignment horizontal="center"/>
    </xf>
    <xf numFmtId="0" fontId="0" fillId="0" borderId="0" xfId="0" quotePrefix="1"/>
    <xf numFmtId="0" fontId="2" fillId="0" borderId="0" xfId="0" applyFont="1" applyAlignment="1">
      <alignment horizontal="center"/>
    </xf>
    <xf numFmtId="167" fontId="0" fillId="0" borderId="0" xfId="0" applyNumberFormat="1"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0" fontId="0" fillId="0" borderId="0" xfId="0" quotePrefix="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4" xfId="0" applyBorder="1"/>
    <xf numFmtId="0" fontId="0" fillId="0" borderId="5" xfId="0" applyBorder="1"/>
    <xf numFmtId="165" fontId="0" fillId="2" borderId="5" xfId="0" applyNumberFormat="1"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165" fontId="0" fillId="2" borderId="8" xfId="0" applyNumberFormat="1" applyFill="1" applyBorder="1" applyAlignment="1">
      <alignment horizontal="center"/>
    </xf>
    <xf numFmtId="0" fontId="0" fillId="0" borderId="2" xfId="0" applyBorder="1"/>
    <xf numFmtId="0" fontId="0" fillId="0" borderId="3" xfId="0" quotePrefix="1" applyBorder="1"/>
    <xf numFmtId="167" fontId="0" fillId="0" borderId="5" xfId="0" applyNumberFormat="1" applyBorder="1" applyAlignment="1">
      <alignment horizontal="center"/>
    </xf>
    <xf numFmtId="165" fontId="0" fillId="2" borderId="4" xfId="0" applyNumberFormat="1" applyFill="1" applyBorder="1" applyAlignment="1">
      <alignment horizontal="center"/>
    </xf>
    <xf numFmtId="166" fontId="0" fillId="0" borderId="5" xfId="0" applyNumberFormat="1" applyBorder="1" applyAlignment="1">
      <alignment horizontal="center"/>
    </xf>
    <xf numFmtId="165" fontId="0" fillId="2" borderId="6" xfId="0" applyNumberFormat="1" applyFill="1" applyBorder="1" applyAlignment="1">
      <alignment horizontal="center"/>
    </xf>
    <xf numFmtId="0" fontId="0" fillId="0" borderId="1" xfId="0" applyBorder="1"/>
    <xf numFmtId="0" fontId="0" fillId="0" borderId="3" xfId="0" applyBorder="1"/>
    <xf numFmtId="165" fontId="0" fillId="0" borderId="5" xfId="0" applyNumberFormat="1" applyBorder="1" applyAlignment="1">
      <alignment horizontal="center"/>
    </xf>
    <xf numFmtId="1" fontId="0" fillId="0" borderId="0" xfId="0" applyNumberFormat="1"/>
    <xf numFmtId="166" fontId="0" fillId="2" borderId="5" xfId="0" applyNumberFormat="1" applyFill="1" applyBorder="1" applyAlignment="1">
      <alignment horizontal="center"/>
    </xf>
    <xf numFmtId="166" fontId="0" fillId="2" borderId="8" xfId="0" applyNumberFormat="1" applyFill="1" applyBorder="1" applyAlignment="1">
      <alignment horizontal="center"/>
    </xf>
    <xf numFmtId="1" fontId="0" fillId="2" borderId="5" xfId="0" applyNumberFormat="1" applyFill="1" applyBorder="1" applyAlignment="1">
      <alignment horizontal="center"/>
    </xf>
    <xf numFmtId="1" fontId="0" fillId="2" borderId="8" xfId="0" applyNumberFormat="1" applyFill="1" applyBorder="1" applyAlignment="1">
      <alignment horizontal="center"/>
    </xf>
    <xf numFmtId="0" fontId="0" fillId="0" borderId="9" xfId="0" quotePrefix="1" applyBorder="1" applyAlignment="1">
      <alignment horizontal="center"/>
    </xf>
    <xf numFmtId="0" fontId="0" fillId="0" borderId="10" xfId="0" applyBorder="1" applyAlignment="1">
      <alignment horizontal="center"/>
    </xf>
    <xf numFmtId="0" fontId="0" fillId="0" borderId="10" xfId="0" applyBorder="1"/>
    <xf numFmtId="166" fontId="0" fillId="3" borderId="10" xfId="0" applyNumberFormat="1" applyFill="1" applyBorder="1" applyAlignment="1">
      <alignment horizontal="center"/>
    </xf>
    <xf numFmtId="1" fontId="0" fillId="3" borderId="10" xfId="0" applyNumberFormat="1" applyFill="1" applyBorder="1" applyAlignment="1">
      <alignment horizontal="center"/>
    </xf>
    <xf numFmtId="1" fontId="0" fillId="3" borderId="11" xfId="0" applyNumberFormat="1" applyFill="1" applyBorder="1" applyAlignment="1">
      <alignment horizontal="center"/>
    </xf>
    <xf numFmtId="166" fontId="0" fillId="0" borderId="7" xfId="0" applyNumberFormat="1" applyBorder="1" applyAlignment="1">
      <alignment horizontal="center"/>
    </xf>
    <xf numFmtId="0" fontId="0" fillId="0" borderId="0" xfId="0" applyAlignment="1">
      <alignment horizontal="left"/>
    </xf>
    <xf numFmtId="0" fontId="0" fillId="0" borderId="0" xfId="0" applyAlignment="1">
      <alignment horizontal="center" vertical="center" wrapText="1"/>
    </xf>
    <xf numFmtId="0" fontId="0" fillId="0" borderId="0" xfId="0" applyAlignment="1">
      <alignment horizontal="center" vertical="center"/>
    </xf>
    <xf numFmtId="0" fontId="2" fillId="0" borderId="0" xfId="0" applyFont="1" applyAlignment="1">
      <alignment horizontal="left"/>
    </xf>
    <xf numFmtId="0" fontId="0" fillId="0" borderId="0" xfId="0" quotePrefix="1" applyAlignment="1">
      <alignment horizontal="left"/>
    </xf>
    <xf numFmtId="0" fontId="2" fillId="0" borderId="0" xfId="0" applyFont="1" applyAlignment="1">
      <alignment horizontal="center"/>
    </xf>
    <xf numFmtId="0" fontId="0" fillId="4" borderId="0" xfId="0" applyFill="1" applyAlignment="1">
      <alignment horizontal="center" vertical="center" wrapText="1"/>
    </xf>
    <xf numFmtId="0" fontId="1" fillId="4" borderId="0" xfId="0" applyFont="1" applyFill="1"/>
    <xf numFmtId="0" fontId="2" fillId="4" borderId="0" xfId="0" applyFont="1" applyFill="1" applyAlignment="1">
      <alignment horizontal="left"/>
    </xf>
    <xf numFmtId="0" fontId="0" fillId="4" borderId="0" xfId="0" applyFill="1" applyAlignment="1">
      <alignment horizontal="center" vertical="center"/>
    </xf>
    <xf numFmtId="0" fontId="0" fillId="4" borderId="0" xfId="0" applyFill="1" applyAlignment="1">
      <alignment horizontal="left"/>
    </xf>
    <xf numFmtId="0" fontId="0" fillId="4" borderId="0" xfId="0" applyFill="1"/>
    <xf numFmtId="0" fontId="0" fillId="4" borderId="0" xfId="0" applyFill="1" applyAlignment="1">
      <alignment horizontal="center"/>
    </xf>
    <xf numFmtId="165" fontId="0" fillId="4" borderId="0" xfId="0" applyNumberFormat="1" applyFill="1" applyAlignment="1">
      <alignment horizontal="center"/>
    </xf>
    <xf numFmtId="0" fontId="0" fillId="2" borderId="0" xfId="0" applyFill="1" applyAlignment="1">
      <alignment horizontal="center" vertical="center" wrapText="1"/>
    </xf>
    <xf numFmtId="0" fontId="0" fillId="2"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44</xdr:row>
      <xdr:rowOff>0</xdr:rowOff>
    </xdr:from>
    <xdr:to>
      <xdr:col>6</xdr:col>
      <xdr:colOff>1829435</xdr:colOff>
      <xdr:row>84</xdr:row>
      <xdr:rowOff>130186</xdr:rowOff>
    </xdr:to>
    <xdr:pic>
      <xdr:nvPicPr>
        <xdr:cNvPr id="2" name="Imagem 1">
          <a:extLst>
            <a:ext uri="{FF2B5EF4-FFF2-40B4-BE49-F238E27FC236}">
              <a16:creationId xmlns:a16="http://schemas.microsoft.com/office/drawing/2014/main" id="{DC16D8C2-3EBB-6F64-1C70-DFE397D42757}"/>
            </a:ext>
          </a:extLst>
        </xdr:cNvPr>
        <xdr:cNvPicPr>
          <a:picLocks noChangeAspect="1"/>
        </xdr:cNvPicPr>
      </xdr:nvPicPr>
      <xdr:blipFill>
        <a:blip xmlns:r="http://schemas.openxmlformats.org/officeDocument/2006/relationships" r:embed="rId1"/>
        <a:stretch>
          <a:fillRect/>
        </a:stretch>
      </xdr:blipFill>
      <xdr:spPr>
        <a:xfrm>
          <a:off x="0" y="5120640"/>
          <a:ext cx="7323455" cy="74530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8</xdr:col>
      <xdr:colOff>57380</xdr:colOff>
      <xdr:row>61</xdr:row>
      <xdr:rowOff>114300</xdr:rowOff>
    </xdr:to>
    <xdr:pic>
      <xdr:nvPicPr>
        <xdr:cNvPr id="4" name="Imagem 3">
          <a:extLst>
            <a:ext uri="{FF2B5EF4-FFF2-40B4-BE49-F238E27FC236}">
              <a16:creationId xmlns:a16="http://schemas.microsoft.com/office/drawing/2014/main" id="{5E27A6FA-445C-19E8-5BC5-4CCFDED1CA82}"/>
            </a:ext>
          </a:extLst>
        </xdr:cNvPr>
        <xdr:cNvPicPr>
          <a:picLocks noChangeAspect="1"/>
        </xdr:cNvPicPr>
      </xdr:nvPicPr>
      <xdr:blipFill>
        <a:blip xmlns:r="http://schemas.openxmlformats.org/officeDocument/2006/relationships" r:embed="rId1"/>
        <a:stretch>
          <a:fillRect/>
        </a:stretch>
      </xdr:blipFill>
      <xdr:spPr>
        <a:xfrm>
          <a:off x="0" y="6035040"/>
          <a:ext cx="6999200" cy="52349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28</xdr:row>
      <xdr:rowOff>7620</xdr:rowOff>
    </xdr:from>
    <xdr:to>
      <xdr:col>10</xdr:col>
      <xdr:colOff>686655</xdr:colOff>
      <xdr:row>53</xdr:row>
      <xdr:rowOff>46120</xdr:rowOff>
    </xdr:to>
    <xdr:pic>
      <xdr:nvPicPr>
        <xdr:cNvPr id="3" name="Imagem 2">
          <a:extLst>
            <a:ext uri="{FF2B5EF4-FFF2-40B4-BE49-F238E27FC236}">
              <a16:creationId xmlns:a16="http://schemas.microsoft.com/office/drawing/2014/main" id="{384D2F85-5D5A-5375-45AD-822487CFEA86}"/>
            </a:ext>
          </a:extLst>
        </xdr:cNvPr>
        <xdr:cNvPicPr>
          <a:picLocks noChangeAspect="1"/>
        </xdr:cNvPicPr>
      </xdr:nvPicPr>
      <xdr:blipFill>
        <a:blip xmlns:r="http://schemas.openxmlformats.org/officeDocument/2006/relationships" r:embed="rId1"/>
        <a:stretch>
          <a:fillRect/>
        </a:stretch>
      </xdr:blipFill>
      <xdr:spPr>
        <a:xfrm>
          <a:off x="0" y="5128260"/>
          <a:ext cx="9861135" cy="46105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53</xdr:row>
      <xdr:rowOff>0</xdr:rowOff>
    </xdr:from>
    <xdr:to>
      <xdr:col>30</xdr:col>
      <xdr:colOff>135274</xdr:colOff>
      <xdr:row>63</xdr:row>
      <xdr:rowOff>93513</xdr:rowOff>
    </xdr:to>
    <xdr:pic>
      <xdr:nvPicPr>
        <xdr:cNvPr id="5" name="Imagem 4">
          <a:extLst>
            <a:ext uri="{FF2B5EF4-FFF2-40B4-BE49-F238E27FC236}">
              <a16:creationId xmlns:a16="http://schemas.microsoft.com/office/drawing/2014/main" id="{0740B61F-B77E-4047-AEF4-264B679A8F38}"/>
            </a:ext>
          </a:extLst>
        </xdr:cNvPr>
        <xdr:cNvPicPr>
          <a:picLocks noChangeAspect="1"/>
        </xdr:cNvPicPr>
      </xdr:nvPicPr>
      <xdr:blipFill>
        <a:blip xmlns:r="http://schemas.openxmlformats.org/officeDocument/2006/relationships" r:embed="rId1"/>
        <a:stretch>
          <a:fillRect/>
        </a:stretch>
      </xdr:blipFill>
      <xdr:spPr>
        <a:xfrm>
          <a:off x="0" y="4602480"/>
          <a:ext cx="22206604" cy="1935648"/>
        </a:xfrm>
        <a:prstGeom prst="rect">
          <a:avLst/>
        </a:prstGeom>
      </xdr:spPr>
    </xdr:pic>
    <xdr:clientData/>
  </xdr:twoCellAnchor>
  <xdr:twoCellAnchor editAs="oneCell">
    <xdr:from>
      <xdr:col>0</xdr:col>
      <xdr:colOff>0</xdr:colOff>
      <xdr:row>15</xdr:row>
      <xdr:rowOff>0</xdr:rowOff>
    </xdr:from>
    <xdr:to>
      <xdr:col>17</xdr:col>
      <xdr:colOff>246981</xdr:colOff>
      <xdr:row>24</xdr:row>
      <xdr:rowOff>38246</xdr:rowOff>
    </xdr:to>
    <xdr:pic>
      <xdr:nvPicPr>
        <xdr:cNvPr id="7" name="Imagem 6">
          <a:extLst>
            <a:ext uri="{FF2B5EF4-FFF2-40B4-BE49-F238E27FC236}">
              <a16:creationId xmlns:a16="http://schemas.microsoft.com/office/drawing/2014/main" id="{9CC81198-D093-441C-8626-554EA1DFA25F}"/>
            </a:ext>
          </a:extLst>
        </xdr:cNvPr>
        <xdr:cNvPicPr>
          <a:picLocks noChangeAspect="1"/>
        </xdr:cNvPicPr>
      </xdr:nvPicPr>
      <xdr:blipFill>
        <a:blip xmlns:r="http://schemas.openxmlformats.org/officeDocument/2006/relationships" r:embed="rId2"/>
        <a:stretch>
          <a:fillRect/>
        </a:stretch>
      </xdr:blipFill>
      <xdr:spPr>
        <a:xfrm>
          <a:off x="0" y="2392680"/>
          <a:ext cx="14258256" cy="1684166"/>
        </a:xfrm>
        <a:prstGeom prst="rect">
          <a:avLst/>
        </a:prstGeom>
      </xdr:spPr>
    </xdr:pic>
    <xdr:clientData/>
  </xdr:twoCellAnchor>
  <xdr:twoCellAnchor editAs="oneCell">
    <xdr:from>
      <xdr:col>0</xdr:col>
      <xdr:colOff>0</xdr:colOff>
      <xdr:row>33</xdr:row>
      <xdr:rowOff>0</xdr:rowOff>
    </xdr:from>
    <xdr:to>
      <xdr:col>17</xdr:col>
      <xdr:colOff>283176</xdr:colOff>
      <xdr:row>39</xdr:row>
      <xdr:rowOff>169655</xdr:rowOff>
    </xdr:to>
    <xdr:pic>
      <xdr:nvPicPr>
        <xdr:cNvPr id="2" name="Imagem 1">
          <a:extLst>
            <a:ext uri="{FF2B5EF4-FFF2-40B4-BE49-F238E27FC236}">
              <a16:creationId xmlns:a16="http://schemas.microsoft.com/office/drawing/2014/main" id="{E36EAD01-5E2D-2300-15F6-40B53AE8D699}"/>
            </a:ext>
          </a:extLst>
        </xdr:cNvPr>
        <xdr:cNvPicPr>
          <a:picLocks noChangeAspect="1"/>
        </xdr:cNvPicPr>
      </xdr:nvPicPr>
      <xdr:blipFill>
        <a:blip xmlns:r="http://schemas.openxmlformats.org/officeDocument/2006/relationships" r:embed="rId3"/>
        <a:stretch>
          <a:fillRect/>
        </a:stretch>
      </xdr:blipFill>
      <xdr:spPr>
        <a:xfrm>
          <a:off x="0" y="4362450"/>
          <a:ext cx="14258256" cy="1265030"/>
        </a:xfrm>
        <a:prstGeom prst="rect">
          <a:avLst/>
        </a:prstGeom>
      </xdr:spPr>
    </xdr:pic>
    <xdr:clientData/>
  </xdr:twoCellAnchor>
  <xdr:twoCellAnchor editAs="oneCell">
    <xdr:from>
      <xdr:col>0</xdr:col>
      <xdr:colOff>0</xdr:colOff>
      <xdr:row>25</xdr:row>
      <xdr:rowOff>0</xdr:rowOff>
    </xdr:from>
    <xdr:to>
      <xdr:col>36</xdr:col>
      <xdr:colOff>589018</xdr:colOff>
      <xdr:row>31</xdr:row>
      <xdr:rowOff>129646</xdr:rowOff>
    </xdr:to>
    <xdr:pic>
      <xdr:nvPicPr>
        <xdr:cNvPr id="3" name="Imagem 2">
          <a:extLst>
            <a:ext uri="{FF2B5EF4-FFF2-40B4-BE49-F238E27FC236}">
              <a16:creationId xmlns:a16="http://schemas.microsoft.com/office/drawing/2014/main" id="{628A0DA6-C337-8B93-5D01-270C50DB2658}"/>
            </a:ext>
          </a:extLst>
        </xdr:cNvPr>
        <xdr:cNvPicPr>
          <a:picLocks noChangeAspect="1"/>
        </xdr:cNvPicPr>
      </xdr:nvPicPr>
      <xdr:blipFill>
        <a:blip xmlns:r="http://schemas.openxmlformats.org/officeDocument/2006/relationships" r:embed="rId4"/>
        <a:stretch>
          <a:fillRect/>
        </a:stretch>
      </xdr:blipFill>
      <xdr:spPr>
        <a:xfrm>
          <a:off x="0" y="4543425"/>
          <a:ext cx="26283658" cy="1219306"/>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962C2-EBCC-4AF0-94E2-31E084891618}">
  <dimension ref="A1:S43"/>
  <sheetViews>
    <sheetView workbookViewId="0">
      <selection activeCell="A15" sqref="A15:A27"/>
    </sheetView>
  </sheetViews>
  <sheetFormatPr defaultRowHeight="14.4" x14ac:dyDescent="0.3"/>
  <cols>
    <col min="1" max="1" width="12.21875" customWidth="1"/>
    <col min="2" max="2" width="17.6640625" bestFit="1" customWidth="1"/>
    <col min="3" max="3" width="10.77734375" bestFit="1" customWidth="1"/>
    <col min="4" max="4" width="12.21875" bestFit="1" customWidth="1"/>
    <col min="5" max="5" width="20.109375" bestFit="1" customWidth="1"/>
    <col min="6" max="6" width="19.33203125" bestFit="1" customWidth="1"/>
    <col min="7" max="7" width="29.109375" bestFit="1" customWidth="1"/>
    <col min="8" max="8" width="9.5546875" bestFit="1" customWidth="1"/>
  </cols>
  <sheetData>
    <row r="1" spans="1:19" x14ac:dyDescent="0.3">
      <c r="A1" s="57" t="s">
        <v>100</v>
      </c>
      <c r="B1" s="1" t="s">
        <v>6</v>
      </c>
      <c r="C1" s="43" t="s">
        <v>7</v>
      </c>
      <c r="D1" s="43"/>
      <c r="E1" s="43"/>
      <c r="F1" s="43"/>
      <c r="G1" s="43"/>
      <c r="H1" s="43"/>
      <c r="I1" s="43"/>
      <c r="J1" s="43"/>
      <c r="K1" s="43"/>
      <c r="L1" s="43"/>
      <c r="M1" s="43"/>
      <c r="N1" s="43"/>
      <c r="O1" s="43"/>
      <c r="P1" s="43"/>
      <c r="Q1" s="43"/>
      <c r="R1" s="43"/>
      <c r="S1" s="43"/>
    </row>
    <row r="2" spans="1:19" x14ac:dyDescent="0.3">
      <c r="A2" s="58"/>
      <c r="B2" s="1" t="s">
        <v>2</v>
      </c>
      <c r="C2" s="43" t="s">
        <v>1</v>
      </c>
      <c r="D2" s="43"/>
      <c r="E2" s="43"/>
      <c r="F2" s="43"/>
      <c r="G2" s="43"/>
      <c r="H2" s="43"/>
      <c r="I2" s="43"/>
      <c r="J2" s="43"/>
      <c r="K2" s="43"/>
      <c r="L2" s="43"/>
      <c r="M2" s="43"/>
      <c r="N2" s="43"/>
      <c r="O2" s="43"/>
      <c r="P2" s="43"/>
      <c r="Q2" s="43"/>
      <c r="R2" s="43"/>
      <c r="S2" s="43"/>
    </row>
    <row r="3" spans="1:19" x14ac:dyDescent="0.3">
      <c r="A3" s="58"/>
      <c r="B3" s="1" t="s">
        <v>3</v>
      </c>
      <c r="C3" s="43" t="s">
        <v>0</v>
      </c>
      <c r="D3" s="43"/>
      <c r="E3" s="43"/>
      <c r="F3" s="43"/>
      <c r="G3" s="43"/>
      <c r="H3" s="43"/>
      <c r="I3" s="43"/>
      <c r="J3" s="43"/>
      <c r="K3" s="43"/>
      <c r="L3" s="43"/>
      <c r="M3" s="43"/>
      <c r="N3" s="43"/>
      <c r="O3" s="43"/>
      <c r="P3" s="43"/>
      <c r="Q3" s="43"/>
      <c r="R3" s="43"/>
      <c r="S3" s="43"/>
    </row>
    <row r="4" spans="1:19" x14ac:dyDescent="0.3">
      <c r="A4" s="58"/>
      <c r="B4" s="1" t="s">
        <v>4</v>
      </c>
      <c r="C4" s="43" t="s">
        <v>5</v>
      </c>
      <c r="D4" s="43"/>
      <c r="E4" s="43"/>
      <c r="F4" s="43"/>
      <c r="G4" s="43"/>
      <c r="H4" s="43"/>
      <c r="I4" s="43"/>
      <c r="J4" s="43"/>
      <c r="K4" s="43"/>
      <c r="L4" s="43"/>
      <c r="M4" s="43"/>
      <c r="N4" s="43"/>
      <c r="O4" s="43"/>
      <c r="P4" s="43"/>
      <c r="Q4" s="43"/>
      <c r="R4" s="43"/>
      <c r="S4" s="43"/>
    </row>
    <row r="5" spans="1:19" x14ac:dyDescent="0.3">
      <c r="A5" s="58"/>
      <c r="B5" s="1" t="s">
        <v>8</v>
      </c>
      <c r="C5" s="43" t="s">
        <v>9</v>
      </c>
      <c r="D5" s="43"/>
      <c r="E5" s="43"/>
      <c r="F5" s="43"/>
      <c r="G5" s="43"/>
      <c r="H5" s="43"/>
      <c r="I5" s="43"/>
      <c r="J5" s="43"/>
      <c r="K5" s="43"/>
      <c r="L5" s="43"/>
      <c r="M5" s="43"/>
      <c r="N5" s="43"/>
      <c r="O5" s="43"/>
      <c r="P5" s="43"/>
      <c r="Q5" s="43"/>
      <c r="R5" s="43"/>
      <c r="S5" s="43"/>
    </row>
    <row r="6" spans="1:19" x14ac:dyDescent="0.3">
      <c r="A6" s="58"/>
      <c r="C6" s="43" t="s">
        <v>24</v>
      </c>
      <c r="D6" s="43"/>
      <c r="E6" s="43"/>
      <c r="F6" s="43"/>
      <c r="G6" s="43"/>
      <c r="H6" s="43"/>
      <c r="I6" s="43"/>
      <c r="J6" s="43"/>
      <c r="K6" s="43"/>
      <c r="L6" s="43"/>
      <c r="M6" s="43"/>
      <c r="N6" s="43"/>
      <c r="O6" s="43"/>
      <c r="P6" s="43"/>
      <c r="Q6" s="43"/>
      <c r="R6" s="43"/>
      <c r="S6" s="43"/>
    </row>
    <row r="7" spans="1:19" x14ac:dyDescent="0.3">
      <c r="A7" s="58"/>
      <c r="C7" s="43" t="s">
        <v>28</v>
      </c>
      <c r="D7" s="43"/>
      <c r="E7" s="43"/>
      <c r="F7" s="43"/>
      <c r="G7" s="43"/>
      <c r="H7" s="43"/>
      <c r="I7" s="43"/>
      <c r="J7" s="43"/>
      <c r="K7" s="43"/>
      <c r="L7" s="43"/>
      <c r="M7" s="43"/>
      <c r="N7" s="43"/>
      <c r="O7" s="43"/>
      <c r="P7" s="43"/>
      <c r="Q7" s="43"/>
      <c r="R7" s="43"/>
      <c r="S7" s="43"/>
    </row>
    <row r="8" spans="1:19" x14ac:dyDescent="0.3">
      <c r="A8" s="58"/>
      <c r="B8" s="1" t="s">
        <v>10</v>
      </c>
    </row>
    <row r="9" spans="1:19" x14ac:dyDescent="0.3">
      <c r="A9" s="58"/>
      <c r="C9" s="2" t="s">
        <v>14</v>
      </c>
      <c r="D9" s="2" t="s">
        <v>15</v>
      </c>
      <c r="E9" s="2" t="s">
        <v>16</v>
      </c>
      <c r="F9" s="2" t="s">
        <v>17</v>
      </c>
      <c r="G9" s="2" t="s">
        <v>18</v>
      </c>
      <c r="H9" s="2" t="s">
        <v>1</v>
      </c>
    </row>
    <row r="10" spans="1:19" x14ac:dyDescent="0.3">
      <c r="A10" s="58"/>
      <c r="C10" s="2"/>
      <c r="D10" s="2" t="s">
        <v>58</v>
      </c>
      <c r="E10" s="2" t="s">
        <v>60</v>
      </c>
      <c r="F10" s="2" t="s">
        <v>63</v>
      </c>
      <c r="G10" s="2" t="s">
        <v>64</v>
      </c>
      <c r="H10" s="2" t="s">
        <v>58</v>
      </c>
    </row>
    <row r="11" spans="1:19" x14ac:dyDescent="0.3">
      <c r="A11" s="58"/>
      <c r="B11" t="s">
        <v>11</v>
      </c>
      <c r="C11" s="2">
        <v>1</v>
      </c>
      <c r="D11" s="2">
        <v>0.5</v>
      </c>
      <c r="E11" s="2">
        <v>760</v>
      </c>
      <c r="F11" s="3">
        <v>0</v>
      </c>
      <c r="G11" s="2">
        <v>298.14999999999998</v>
      </c>
      <c r="H11" s="4">
        <f>C11*(298.15/760)*D11*((E11+F11/13.6)/G11)</f>
        <v>0.5</v>
      </c>
      <c r="I11">
        <f>G11-273.15</f>
        <v>25</v>
      </c>
    </row>
    <row r="12" spans="1:19" x14ac:dyDescent="0.3">
      <c r="A12" s="58"/>
      <c r="B12" t="s">
        <v>12</v>
      </c>
      <c r="C12" s="2">
        <v>1</v>
      </c>
      <c r="D12" s="2">
        <v>0.5</v>
      </c>
      <c r="E12" s="2">
        <v>674</v>
      </c>
      <c r="F12" s="3">
        <v>13.6</v>
      </c>
      <c r="G12" s="2">
        <f>20+273.15</f>
        <v>293.14999999999998</v>
      </c>
      <c r="H12" s="4">
        <f>C12*(298.15/760)*D12*((E12+F12/13.6)/G12)</f>
        <v>0.45165320879377358</v>
      </c>
      <c r="I12">
        <f>G12-273.15</f>
        <v>20</v>
      </c>
    </row>
    <row r="13" spans="1:19" x14ac:dyDescent="0.3">
      <c r="A13" s="58"/>
      <c r="B13" t="s">
        <v>13</v>
      </c>
      <c r="C13" s="2">
        <v>1</v>
      </c>
      <c r="D13" s="2">
        <v>0.5</v>
      </c>
      <c r="E13" s="2">
        <v>674</v>
      </c>
      <c r="F13" s="3">
        <v>5</v>
      </c>
      <c r="G13" s="2">
        <f>30+273.15</f>
        <v>303.14999999999998</v>
      </c>
      <c r="H13" s="4">
        <f>C13*(298.15/760)*D13*((E13+F13/13.6)/G13)</f>
        <v>0.43634537785399846</v>
      </c>
      <c r="I13">
        <f>G13-273.15</f>
        <v>30</v>
      </c>
    </row>
    <row r="15" spans="1:19" x14ac:dyDescent="0.3">
      <c r="A15" s="57" t="s">
        <v>101</v>
      </c>
      <c r="B15" s="1" t="s">
        <v>6</v>
      </c>
      <c r="C15" s="46" t="s">
        <v>19</v>
      </c>
      <c r="D15" s="46"/>
      <c r="E15" s="46"/>
      <c r="F15" s="46"/>
      <c r="G15" s="46"/>
      <c r="H15" s="46"/>
      <c r="I15" s="46"/>
      <c r="J15" s="46"/>
      <c r="K15" s="46"/>
      <c r="L15" s="46"/>
      <c r="M15" s="46"/>
      <c r="N15" s="46"/>
      <c r="O15" s="46"/>
      <c r="P15" s="46"/>
      <c r="Q15" s="46"/>
      <c r="R15" s="46"/>
      <c r="S15" s="46"/>
    </row>
    <row r="16" spans="1:19" x14ac:dyDescent="0.3">
      <c r="A16" s="58"/>
      <c r="B16" s="1" t="s">
        <v>2</v>
      </c>
      <c r="C16" s="43" t="s">
        <v>1</v>
      </c>
      <c r="D16" s="43"/>
      <c r="E16" s="43"/>
      <c r="F16" s="43"/>
      <c r="G16" s="43"/>
      <c r="H16" s="43"/>
      <c r="I16" s="43"/>
      <c r="J16" s="43"/>
      <c r="K16" s="43"/>
      <c r="L16" s="43"/>
      <c r="M16" s="43"/>
      <c r="N16" s="43"/>
      <c r="O16" s="43"/>
      <c r="P16" s="43"/>
      <c r="Q16" s="43"/>
      <c r="R16" s="43"/>
      <c r="S16" s="43"/>
    </row>
    <row r="17" spans="1:19" x14ac:dyDescent="0.3">
      <c r="A17" s="58"/>
      <c r="B17" s="1" t="s">
        <v>3</v>
      </c>
      <c r="C17" s="46" t="s">
        <v>19</v>
      </c>
      <c r="D17" s="46"/>
      <c r="E17" s="46"/>
      <c r="F17" s="46"/>
      <c r="G17" s="46"/>
      <c r="H17" s="46"/>
      <c r="I17" s="46"/>
      <c r="J17" s="46"/>
      <c r="K17" s="46"/>
      <c r="L17" s="46"/>
      <c r="M17" s="46"/>
      <c r="N17" s="46"/>
      <c r="O17" s="46"/>
      <c r="P17" s="46"/>
      <c r="Q17" s="46"/>
      <c r="R17" s="46"/>
      <c r="S17" s="46"/>
    </row>
    <row r="18" spans="1:19" x14ac:dyDescent="0.3">
      <c r="A18" s="58"/>
      <c r="B18" s="1" t="s">
        <v>4</v>
      </c>
      <c r="C18" s="43" t="s">
        <v>53</v>
      </c>
      <c r="D18" s="43"/>
      <c r="E18" s="43"/>
      <c r="F18" s="43"/>
      <c r="G18" s="43"/>
      <c r="H18" s="43"/>
      <c r="I18" s="43"/>
      <c r="J18" s="43"/>
      <c r="K18" s="43"/>
      <c r="L18" s="43"/>
      <c r="M18" s="43"/>
      <c r="N18" s="43"/>
      <c r="O18" s="43"/>
      <c r="P18" s="43"/>
      <c r="Q18" s="43"/>
      <c r="R18" s="43"/>
      <c r="S18" s="43"/>
    </row>
    <row r="19" spans="1:19" x14ac:dyDescent="0.3">
      <c r="A19" s="58"/>
      <c r="B19" s="1" t="s">
        <v>8</v>
      </c>
      <c r="C19" s="43" t="s">
        <v>52</v>
      </c>
      <c r="D19" s="43"/>
      <c r="E19" s="43"/>
      <c r="F19" s="43"/>
      <c r="G19" s="43"/>
      <c r="H19" s="43"/>
      <c r="I19" s="43"/>
      <c r="J19" s="43"/>
      <c r="K19" s="43"/>
      <c r="L19" s="43"/>
      <c r="M19" s="43"/>
      <c r="N19" s="43"/>
      <c r="O19" s="43"/>
      <c r="P19" s="43"/>
      <c r="Q19" s="43"/>
      <c r="R19" s="43"/>
      <c r="S19" s="43"/>
    </row>
    <row r="20" spans="1:19" x14ac:dyDescent="0.3">
      <c r="A20" s="58"/>
      <c r="C20" s="43" t="s">
        <v>56</v>
      </c>
      <c r="D20" s="43"/>
      <c r="E20" s="43"/>
      <c r="F20" s="43"/>
      <c r="G20" s="43"/>
      <c r="H20" s="43"/>
      <c r="I20" s="43"/>
      <c r="J20" s="43"/>
      <c r="K20" s="43"/>
      <c r="L20" s="43"/>
      <c r="M20" s="43"/>
      <c r="N20" s="43"/>
      <c r="O20" s="43"/>
      <c r="P20" s="43"/>
      <c r="Q20" s="43"/>
      <c r="R20" s="43"/>
      <c r="S20" s="43"/>
    </row>
    <row r="21" spans="1:19" x14ac:dyDescent="0.3">
      <c r="A21" s="58"/>
      <c r="C21" s="43" t="s">
        <v>57</v>
      </c>
      <c r="D21" s="43"/>
      <c r="E21" s="43"/>
      <c r="F21" s="43"/>
      <c r="G21" s="43"/>
      <c r="H21" s="43"/>
      <c r="I21" s="43"/>
      <c r="J21" s="43"/>
      <c r="K21" s="43"/>
      <c r="L21" s="43"/>
      <c r="M21" s="43"/>
      <c r="N21" s="43"/>
      <c r="O21" s="43"/>
      <c r="P21" s="43"/>
      <c r="Q21" s="43"/>
      <c r="R21" s="43"/>
      <c r="S21" s="43"/>
    </row>
    <row r="22" spans="1:19" x14ac:dyDescent="0.3">
      <c r="A22" s="58"/>
      <c r="B22" s="1" t="s">
        <v>10</v>
      </c>
    </row>
    <row r="23" spans="1:19" x14ac:dyDescent="0.3">
      <c r="A23" s="58"/>
      <c r="C23" s="2" t="s">
        <v>54</v>
      </c>
      <c r="D23" s="2" t="s">
        <v>55</v>
      </c>
      <c r="E23" s="2" t="s">
        <v>16</v>
      </c>
      <c r="F23" s="2" t="s">
        <v>18</v>
      </c>
      <c r="G23" s="2" t="s">
        <v>1</v>
      </c>
      <c r="H23" t="s">
        <v>1</v>
      </c>
      <c r="M23" t="s">
        <v>75</v>
      </c>
    </row>
    <row r="24" spans="1:19" x14ac:dyDescent="0.3">
      <c r="A24" s="58"/>
      <c r="C24" s="2" t="s">
        <v>61</v>
      </c>
      <c r="D24" s="2" t="s">
        <v>62</v>
      </c>
      <c r="E24" s="2" t="s">
        <v>60</v>
      </c>
      <c r="F24" s="2" t="s">
        <v>59</v>
      </c>
      <c r="G24" s="2" t="s">
        <v>65</v>
      </c>
      <c r="H24" s="2" t="s">
        <v>58</v>
      </c>
      <c r="M24" t="s">
        <v>76</v>
      </c>
      <c r="N24" t="s">
        <v>77</v>
      </c>
      <c r="O24" t="s">
        <v>78</v>
      </c>
      <c r="Q24" t="s">
        <v>79</v>
      </c>
    </row>
    <row r="25" spans="1:19" x14ac:dyDescent="0.3">
      <c r="A25" s="58"/>
      <c r="B25" t="s">
        <v>11</v>
      </c>
      <c r="C25" s="2">
        <v>2</v>
      </c>
      <c r="D25" s="2">
        <v>250</v>
      </c>
      <c r="E25" s="2">
        <v>760</v>
      </c>
      <c r="F25" s="2">
        <v>25</v>
      </c>
      <c r="G25" s="4">
        <f>(C25*D25*E25*298)/((F25+273)*760)</f>
        <v>500</v>
      </c>
      <c r="H25" s="4">
        <f>G25/1000</f>
        <v>0.5</v>
      </c>
      <c r="M25">
        <v>250</v>
      </c>
      <c r="Q25">
        <f>IF(M25="",N25*O25,M25)</f>
        <v>250</v>
      </c>
    </row>
    <row r="26" spans="1:19" x14ac:dyDescent="0.3">
      <c r="A26" s="58"/>
      <c r="B26" t="s">
        <v>12</v>
      </c>
      <c r="C26" s="2">
        <v>1</v>
      </c>
      <c r="D26" s="2">
        <v>500</v>
      </c>
      <c r="E26" s="2">
        <v>674</v>
      </c>
      <c r="F26" s="2">
        <v>30</v>
      </c>
      <c r="G26" s="4">
        <f>(C26*D26*E26*298)/((F26+273)*760)</f>
        <v>436.10387354524926</v>
      </c>
      <c r="H26" s="4">
        <f t="shared" ref="H26:H27" si="0">G26/1000</f>
        <v>0.43610387354524927</v>
      </c>
    </row>
    <row r="27" spans="1:19" x14ac:dyDescent="0.3">
      <c r="A27" s="58"/>
      <c r="B27" t="s">
        <v>13</v>
      </c>
      <c r="C27" s="2">
        <v>4</v>
      </c>
      <c r="D27" s="2">
        <v>125</v>
      </c>
      <c r="E27" s="2">
        <v>674</v>
      </c>
      <c r="F27" s="2">
        <v>20</v>
      </c>
      <c r="G27" s="4">
        <f>(C27*D27*E27*298)/((F27+273)*760)</f>
        <v>450.98796479252741</v>
      </c>
      <c r="H27" s="4">
        <f t="shared" si="0"/>
        <v>0.4509879647925274</v>
      </c>
    </row>
    <row r="29" spans="1:19" x14ac:dyDescent="0.3">
      <c r="A29" s="49" t="s">
        <v>74</v>
      </c>
      <c r="B29" s="50" t="s">
        <v>6</v>
      </c>
      <c r="C29" s="51" t="s">
        <v>19</v>
      </c>
      <c r="D29" s="51"/>
      <c r="E29" s="51"/>
      <c r="F29" s="51"/>
      <c r="G29" s="51"/>
      <c r="H29" s="51"/>
      <c r="I29" s="51"/>
      <c r="J29" s="51"/>
      <c r="K29" s="51"/>
      <c r="L29" s="51"/>
      <c r="M29" s="51"/>
      <c r="N29" s="51"/>
      <c r="O29" s="51"/>
      <c r="P29" s="51"/>
      <c r="Q29" s="51"/>
      <c r="R29" s="51"/>
      <c r="S29" s="51"/>
    </row>
    <row r="30" spans="1:19" x14ac:dyDescent="0.3">
      <c r="A30" s="52"/>
      <c r="B30" s="50" t="s">
        <v>2</v>
      </c>
      <c r="C30" s="53" t="s">
        <v>1</v>
      </c>
      <c r="D30" s="53"/>
      <c r="E30" s="53"/>
      <c r="F30" s="53"/>
      <c r="G30" s="53"/>
      <c r="H30" s="53"/>
      <c r="I30" s="53"/>
      <c r="J30" s="53"/>
      <c r="K30" s="53"/>
      <c r="L30" s="53"/>
      <c r="M30" s="53"/>
      <c r="N30" s="53"/>
      <c r="O30" s="53"/>
      <c r="P30" s="53"/>
      <c r="Q30" s="53"/>
      <c r="R30" s="53"/>
      <c r="S30" s="53"/>
    </row>
    <row r="31" spans="1:19" x14ac:dyDescent="0.3">
      <c r="A31" s="52"/>
      <c r="B31" s="50" t="s">
        <v>3</v>
      </c>
      <c r="C31" s="51" t="s">
        <v>19</v>
      </c>
      <c r="D31" s="51"/>
      <c r="E31" s="51"/>
      <c r="F31" s="51"/>
      <c r="G31" s="51"/>
      <c r="H31" s="51"/>
      <c r="I31" s="51"/>
      <c r="J31" s="51"/>
      <c r="K31" s="51"/>
      <c r="L31" s="51"/>
      <c r="M31" s="51"/>
      <c r="N31" s="51"/>
      <c r="O31" s="51"/>
      <c r="P31" s="51"/>
      <c r="Q31" s="51"/>
      <c r="R31" s="51"/>
      <c r="S31" s="51"/>
    </row>
    <row r="32" spans="1:19" x14ac:dyDescent="0.3">
      <c r="A32" s="52"/>
      <c r="B32" s="50" t="s">
        <v>4</v>
      </c>
      <c r="C32" s="53" t="s">
        <v>20</v>
      </c>
      <c r="D32" s="53"/>
      <c r="E32" s="53"/>
      <c r="F32" s="53"/>
      <c r="G32" s="53"/>
      <c r="H32" s="53"/>
      <c r="I32" s="53"/>
      <c r="J32" s="53"/>
      <c r="K32" s="53"/>
      <c r="L32" s="53"/>
      <c r="M32" s="53"/>
      <c r="N32" s="53"/>
      <c r="O32" s="53"/>
      <c r="P32" s="53"/>
      <c r="Q32" s="53"/>
      <c r="R32" s="53"/>
      <c r="S32" s="53"/>
    </row>
    <row r="33" spans="1:19" x14ac:dyDescent="0.3">
      <c r="A33" s="52"/>
      <c r="B33" s="50" t="s">
        <v>8</v>
      </c>
      <c r="C33" s="53" t="s">
        <v>23</v>
      </c>
      <c r="D33" s="53"/>
      <c r="E33" s="53"/>
      <c r="F33" s="53"/>
      <c r="G33" s="53"/>
      <c r="H33" s="53"/>
      <c r="I33" s="53"/>
      <c r="J33" s="53"/>
      <c r="K33" s="53"/>
      <c r="L33" s="53"/>
      <c r="M33" s="53"/>
      <c r="N33" s="53"/>
      <c r="O33" s="53"/>
      <c r="P33" s="53"/>
      <c r="Q33" s="53"/>
      <c r="R33" s="53"/>
      <c r="S33" s="53"/>
    </row>
    <row r="34" spans="1:19" x14ac:dyDescent="0.3">
      <c r="A34" s="52"/>
      <c r="B34" s="54"/>
      <c r="C34" s="53" t="s">
        <v>24</v>
      </c>
      <c r="D34" s="53"/>
      <c r="E34" s="53"/>
      <c r="F34" s="53"/>
      <c r="G34" s="53"/>
      <c r="H34" s="53"/>
      <c r="I34" s="53"/>
      <c r="J34" s="53"/>
      <c r="K34" s="53"/>
      <c r="L34" s="53"/>
      <c r="M34" s="53"/>
      <c r="N34" s="53"/>
      <c r="O34" s="53"/>
      <c r="P34" s="53"/>
      <c r="Q34" s="53"/>
      <c r="R34" s="53"/>
      <c r="S34" s="53"/>
    </row>
    <row r="35" spans="1:19" x14ac:dyDescent="0.3">
      <c r="A35" s="52"/>
      <c r="B35" s="54"/>
      <c r="C35" s="53" t="s">
        <v>25</v>
      </c>
      <c r="D35" s="53"/>
      <c r="E35" s="53"/>
      <c r="F35" s="53"/>
      <c r="G35" s="53"/>
      <c r="H35" s="53"/>
      <c r="I35" s="53"/>
      <c r="J35" s="53"/>
      <c r="K35" s="53"/>
      <c r="L35" s="53"/>
      <c r="M35" s="53"/>
      <c r="N35" s="53"/>
      <c r="O35" s="53"/>
      <c r="P35" s="53"/>
      <c r="Q35" s="53"/>
      <c r="R35" s="53"/>
      <c r="S35" s="53"/>
    </row>
    <row r="36" spans="1:19" x14ac:dyDescent="0.3">
      <c r="A36" s="52"/>
      <c r="B36" s="54"/>
      <c r="C36" s="53" t="s">
        <v>26</v>
      </c>
      <c r="D36" s="53"/>
      <c r="E36" s="53"/>
      <c r="F36" s="53"/>
      <c r="G36" s="53"/>
      <c r="H36" s="53"/>
      <c r="I36" s="53"/>
      <c r="J36" s="53"/>
      <c r="K36" s="53"/>
      <c r="L36" s="53"/>
      <c r="M36" s="53"/>
      <c r="N36" s="53"/>
      <c r="O36" s="53"/>
      <c r="P36" s="53"/>
      <c r="Q36" s="53"/>
      <c r="R36" s="53"/>
      <c r="S36" s="53"/>
    </row>
    <row r="37" spans="1:19" x14ac:dyDescent="0.3">
      <c r="A37" s="52"/>
      <c r="B37" s="54"/>
      <c r="C37" s="53" t="s">
        <v>27</v>
      </c>
      <c r="D37" s="53"/>
      <c r="E37" s="53"/>
      <c r="F37" s="53"/>
      <c r="G37" s="53"/>
      <c r="H37" s="53"/>
      <c r="I37" s="53"/>
      <c r="J37" s="53"/>
      <c r="K37" s="53"/>
      <c r="L37" s="53"/>
      <c r="M37" s="53"/>
      <c r="N37" s="53"/>
      <c r="O37" s="53"/>
      <c r="P37" s="53"/>
      <c r="Q37" s="53"/>
      <c r="R37" s="53"/>
      <c r="S37" s="53"/>
    </row>
    <row r="38" spans="1:19" x14ac:dyDescent="0.3">
      <c r="A38" s="52"/>
      <c r="B38" s="50" t="s">
        <v>10</v>
      </c>
      <c r="C38" s="54"/>
      <c r="D38" s="54"/>
      <c r="E38" s="54"/>
      <c r="F38" s="54"/>
      <c r="G38" s="54"/>
      <c r="H38" s="54"/>
      <c r="I38" s="54"/>
      <c r="J38" s="54"/>
      <c r="K38" s="54"/>
      <c r="L38" s="54"/>
      <c r="M38" s="54"/>
      <c r="N38" s="54"/>
      <c r="O38" s="54"/>
      <c r="P38" s="54"/>
      <c r="Q38" s="54"/>
      <c r="R38" s="54"/>
      <c r="S38" s="54"/>
    </row>
    <row r="39" spans="1:19" x14ac:dyDescent="0.3">
      <c r="A39" s="52"/>
      <c r="B39" s="54"/>
      <c r="C39" s="55" t="s">
        <v>15</v>
      </c>
      <c r="D39" s="55" t="s">
        <v>18</v>
      </c>
      <c r="E39" s="55" t="s">
        <v>16</v>
      </c>
      <c r="F39" s="55" t="s">
        <v>21</v>
      </c>
      <c r="G39" s="55" t="s">
        <v>22</v>
      </c>
      <c r="H39" s="55" t="s">
        <v>1</v>
      </c>
      <c r="I39" s="54"/>
      <c r="J39" s="54"/>
      <c r="K39" s="54"/>
      <c r="L39" s="54"/>
      <c r="M39" s="54"/>
      <c r="N39" s="54"/>
      <c r="O39" s="54"/>
      <c r="P39" s="54"/>
      <c r="Q39" s="54"/>
      <c r="R39" s="54"/>
      <c r="S39" s="54"/>
    </row>
    <row r="40" spans="1:19" x14ac:dyDescent="0.3">
      <c r="A40" s="52"/>
      <c r="B40" s="54"/>
      <c r="C40" s="55" t="s">
        <v>58</v>
      </c>
      <c r="D40" s="55" t="s">
        <v>59</v>
      </c>
      <c r="E40" s="55" t="s">
        <v>60</v>
      </c>
      <c r="F40" s="55" t="s">
        <v>60</v>
      </c>
      <c r="G40" s="55" t="s">
        <v>60</v>
      </c>
      <c r="H40" s="55" t="s">
        <v>58</v>
      </c>
      <c r="I40" s="54"/>
      <c r="J40" s="54"/>
      <c r="K40" s="54"/>
      <c r="L40" s="54"/>
      <c r="M40" s="54"/>
      <c r="N40" s="54"/>
      <c r="O40" s="54"/>
      <c r="P40" s="54"/>
      <c r="Q40" s="54"/>
      <c r="R40" s="54"/>
      <c r="S40" s="54"/>
    </row>
    <row r="41" spans="1:19" x14ac:dyDescent="0.3">
      <c r="A41" s="52"/>
      <c r="B41" s="54" t="s">
        <v>11</v>
      </c>
      <c r="C41" s="55">
        <v>0.5</v>
      </c>
      <c r="D41" s="55">
        <v>25</v>
      </c>
      <c r="E41" s="55">
        <v>760</v>
      </c>
      <c r="F41" s="55">
        <v>0</v>
      </c>
      <c r="G41" s="55">
        <v>0</v>
      </c>
      <c r="H41" s="56">
        <f>C41*(298/(273+D41))*((E41+F41-G41)/760)</f>
        <v>0.5</v>
      </c>
      <c r="I41" s="54" t="s">
        <v>72</v>
      </c>
      <c r="J41" s="54"/>
      <c r="K41" s="54"/>
      <c r="L41" s="54"/>
      <c r="M41" s="54"/>
      <c r="N41" s="54"/>
      <c r="O41" s="54"/>
      <c r="P41" s="54"/>
      <c r="Q41" s="54"/>
      <c r="R41" s="54"/>
      <c r="S41" s="54"/>
    </row>
    <row r="42" spans="1:19" x14ac:dyDescent="0.3">
      <c r="A42" s="52"/>
      <c r="B42" s="54" t="s">
        <v>12</v>
      </c>
      <c r="C42" s="55">
        <v>0.5</v>
      </c>
      <c r="D42" s="55">
        <v>30</v>
      </c>
      <c r="E42" s="55">
        <v>674</v>
      </c>
      <c r="F42" s="55">
        <v>0</v>
      </c>
      <c r="G42" s="55">
        <v>0</v>
      </c>
      <c r="H42" s="56">
        <f>C42*(298/(273+D42))*((E42+F42-G42)/760)</f>
        <v>0.43610387354524927</v>
      </c>
      <c r="I42" s="54" t="s">
        <v>72</v>
      </c>
      <c r="J42" s="54"/>
      <c r="K42" s="54"/>
      <c r="L42" s="54"/>
      <c r="M42" s="54"/>
      <c r="N42" s="54"/>
      <c r="O42" s="54"/>
      <c r="P42" s="54"/>
      <c r="Q42" s="54"/>
      <c r="R42" s="54"/>
      <c r="S42" s="54"/>
    </row>
    <row r="43" spans="1:19" x14ac:dyDescent="0.3">
      <c r="A43" s="52"/>
      <c r="B43" s="54" t="s">
        <v>13</v>
      </c>
      <c r="C43" s="55">
        <v>0.5</v>
      </c>
      <c r="D43" s="55">
        <v>20</v>
      </c>
      <c r="E43" s="55">
        <v>674</v>
      </c>
      <c r="F43" s="55">
        <v>0</v>
      </c>
      <c r="G43" s="55">
        <v>0</v>
      </c>
      <c r="H43" s="56">
        <f>C43*(298/(273+D43))*((E43+F43-G43)/760)</f>
        <v>0.4509879647925274</v>
      </c>
      <c r="I43" s="54"/>
      <c r="J43" s="54"/>
      <c r="K43" s="54"/>
      <c r="L43" s="54"/>
      <c r="M43" s="54"/>
      <c r="N43" s="54"/>
      <c r="O43" s="54"/>
      <c r="P43" s="54"/>
      <c r="Q43" s="54"/>
      <c r="R43" s="54"/>
      <c r="S43" s="54"/>
    </row>
  </sheetData>
  <mergeCells count="26">
    <mergeCell ref="A1:A13"/>
    <mergeCell ref="A15:A27"/>
    <mergeCell ref="A29:A43"/>
    <mergeCell ref="C36:S36"/>
    <mergeCell ref="C33:S33"/>
    <mergeCell ref="C37:S37"/>
    <mergeCell ref="C15:S15"/>
    <mergeCell ref="C16:S16"/>
    <mergeCell ref="C17:S17"/>
    <mergeCell ref="C18:S18"/>
    <mergeCell ref="C19:S19"/>
    <mergeCell ref="C20:S20"/>
    <mergeCell ref="C21:S21"/>
    <mergeCell ref="C29:S29"/>
    <mergeCell ref="C30:S30"/>
    <mergeCell ref="C31:S31"/>
    <mergeCell ref="C1:S1"/>
    <mergeCell ref="C2:S2"/>
    <mergeCell ref="C32:S32"/>
    <mergeCell ref="C34:S34"/>
    <mergeCell ref="C35:S35"/>
    <mergeCell ref="C3:S3"/>
    <mergeCell ref="C4:S4"/>
    <mergeCell ref="C6:S6"/>
    <mergeCell ref="C7:S7"/>
    <mergeCell ref="C5:S5"/>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8C051-CBF5-4090-B9E2-A6B1B49F323B}">
  <dimension ref="A1:T32"/>
  <sheetViews>
    <sheetView workbookViewId="0">
      <selection activeCell="D15" sqref="D15"/>
    </sheetView>
  </sheetViews>
  <sheetFormatPr defaultRowHeight="14.4" x14ac:dyDescent="0.3"/>
  <cols>
    <col min="2" max="2" width="17.6640625" bestFit="1" customWidth="1"/>
    <col min="3" max="3" width="14.88671875" bestFit="1" customWidth="1"/>
    <col min="4" max="4" width="13.21875" bestFit="1" customWidth="1"/>
    <col min="5" max="5" width="13.77734375" bestFit="1" customWidth="1"/>
    <col min="6" max="6" width="14.88671875" bestFit="1" customWidth="1"/>
    <col min="7" max="7" width="13.21875" bestFit="1" customWidth="1"/>
    <col min="8" max="8" width="13.77734375" bestFit="1" customWidth="1"/>
    <col min="9" max="9" width="14.6640625" bestFit="1" customWidth="1"/>
    <col min="10" max="11" width="10.109375" bestFit="1" customWidth="1"/>
    <col min="20" max="20" width="10.88671875" bestFit="1" customWidth="1"/>
  </cols>
  <sheetData>
    <row r="1" spans="1:20" x14ac:dyDescent="0.3">
      <c r="A1" s="58">
        <v>1</v>
      </c>
      <c r="B1" s="1" t="s">
        <v>6</v>
      </c>
      <c r="C1" s="43" t="s">
        <v>30</v>
      </c>
      <c r="D1" s="43"/>
      <c r="E1" s="43"/>
      <c r="F1" s="43"/>
      <c r="G1" s="43"/>
      <c r="H1" s="43"/>
      <c r="I1" s="43"/>
      <c r="J1" s="43"/>
      <c r="K1" s="43"/>
      <c r="L1" s="43"/>
      <c r="M1" s="43"/>
      <c r="N1" s="43"/>
      <c r="O1" s="43"/>
      <c r="P1" s="43"/>
      <c r="Q1" s="43"/>
      <c r="R1" s="43"/>
      <c r="S1" s="43"/>
    </row>
    <row r="2" spans="1:20" x14ac:dyDescent="0.3">
      <c r="A2" s="58"/>
      <c r="B2" s="1" t="s">
        <v>2</v>
      </c>
      <c r="C2" s="47" t="s">
        <v>31</v>
      </c>
      <c r="D2" s="43"/>
      <c r="E2" s="43"/>
      <c r="F2" s="43"/>
      <c r="G2" s="43"/>
      <c r="H2" s="43"/>
      <c r="I2" s="43"/>
      <c r="J2" s="43"/>
      <c r="K2" s="43"/>
      <c r="L2" s="43"/>
      <c r="M2" s="43"/>
      <c r="N2" s="43"/>
      <c r="O2" s="43"/>
      <c r="P2" s="43"/>
      <c r="Q2" s="43"/>
      <c r="R2" s="43"/>
      <c r="S2" s="43"/>
    </row>
    <row r="3" spans="1:20" x14ac:dyDescent="0.3">
      <c r="A3" s="58"/>
      <c r="B3" s="1" t="s">
        <v>3</v>
      </c>
      <c r="C3" s="43" t="s">
        <v>32</v>
      </c>
      <c r="D3" s="43"/>
      <c r="E3" s="43"/>
      <c r="F3" s="43"/>
      <c r="G3" s="43"/>
      <c r="H3" s="43"/>
      <c r="I3" s="43"/>
      <c r="J3" s="43"/>
      <c r="K3" s="43"/>
      <c r="L3" s="43"/>
      <c r="M3" s="43"/>
      <c r="N3" s="43"/>
      <c r="O3" s="43"/>
      <c r="P3" s="43"/>
      <c r="Q3" s="43"/>
      <c r="R3" s="43"/>
      <c r="S3" s="43"/>
      <c r="T3" t="s">
        <v>70</v>
      </c>
    </row>
    <row r="4" spans="1:20" x14ac:dyDescent="0.3">
      <c r="A4" s="58"/>
      <c r="B4" s="1" t="s">
        <v>4</v>
      </c>
      <c r="C4" s="43" t="s">
        <v>33</v>
      </c>
      <c r="D4" s="43"/>
      <c r="E4" s="43"/>
      <c r="F4" s="43"/>
      <c r="G4" s="43"/>
      <c r="H4" s="43"/>
      <c r="I4" s="43"/>
      <c r="J4" s="43"/>
      <c r="K4" s="43"/>
      <c r="L4" s="43"/>
      <c r="M4" s="43"/>
      <c r="N4" s="43"/>
      <c r="O4" s="43"/>
      <c r="P4" s="43"/>
      <c r="Q4" s="43"/>
      <c r="R4" s="43"/>
      <c r="S4" s="43"/>
    </row>
    <row r="5" spans="1:20" x14ac:dyDescent="0.3">
      <c r="A5" s="58"/>
      <c r="B5" s="1" t="s">
        <v>8</v>
      </c>
      <c r="C5" s="43" t="s">
        <v>39</v>
      </c>
      <c r="D5" s="43"/>
      <c r="E5" s="43"/>
      <c r="F5" s="43"/>
      <c r="G5" s="43"/>
      <c r="H5" s="43"/>
      <c r="I5" s="43"/>
      <c r="J5" s="43"/>
      <c r="K5" s="43"/>
      <c r="L5" s="43"/>
      <c r="M5" s="43"/>
      <c r="N5" s="43"/>
      <c r="O5" s="43"/>
      <c r="P5" s="43"/>
      <c r="Q5" s="43"/>
      <c r="R5" s="43"/>
      <c r="S5" s="43"/>
    </row>
    <row r="6" spans="1:20" x14ac:dyDescent="0.3">
      <c r="A6" s="58"/>
      <c r="B6" s="1"/>
      <c r="C6" s="43" t="s">
        <v>41</v>
      </c>
      <c r="D6" s="43"/>
      <c r="E6" s="43"/>
      <c r="F6" s="43"/>
      <c r="G6" s="43"/>
      <c r="H6" s="43"/>
      <c r="I6" s="43"/>
      <c r="J6" s="43"/>
      <c r="K6" s="43"/>
      <c r="L6" s="43"/>
      <c r="M6" s="43"/>
      <c r="N6" s="43"/>
      <c r="O6" s="43"/>
      <c r="P6" s="43"/>
      <c r="Q6" s="43"/>
      <c r="R6" s="43"/>
      <c r="S6" s="43"/>
    </row>
    <row r="7" spans="1:20" x14ac:dyDescent="0.3">
      <c r="A7" s="58"/>
      <c r="B7" s="1"/>
      <c r="C7" s="43" t="s">
        <v>69</v>
      </c>
      <c r="D7" s="43"/>
      <c r="E7" s="43"/>
      <c r="F7" s="43"/>
      <c r="G7" s="43"/>
      <c r="H7" s="43"/>
      <c r="I7" s="43"/>
      <c r="J7" s="43"/>
      <c r="K7" s="43"/>
      <c r="L7" s="43"/>
      <c r="M7" s="43"/>
      <c r="N7" s="43"/>
      <c r="O7" s="43"/>
      <c r="P7" s="43"/>
      <c r="Q7" s="43"/>
      <c r="R7" s="43"/>
      <c r="S7" s="43"/>
    </row>
    <row r="8" spans="1:20" x14ac:dyDescent="0.3">
      <c r="A8" s="58"/>
      <c r="B8" s="1"/>
      <c r="C8" s="43" t="s">
        <v>71</v>
      </c>
      <c r="D8" s="43"/>
      <c r="E8" s="43"/>
      <c r="F8" s="43"/>
      <c r="G8" s="43"/>
      <c r="H8" s="43"/>
      <c r="I8" s="43"/>
      <c r="J8" s="43"/>
      <c r="K8" s="43"/>
      <c r="L8" s="43"/>
      <c r="M8" s="43"/>
      <c r="N8" s="43"/>
      <c r="O8" s="43"/>
      <c r="P8" s="43"/>
      <c r="Q8" s="43"/>
      <c r="R8" s="43"/>
      <c r="S8" s="43"/>
    </row>
    <row r="9" spans="1:20" x14ac:dyDescent="0.3">
      <c r="A9" s="58"/>
      <c r="B9" s="1" t="s">
        <v>10</v>
      </c>
      <c r="D9" s="6" t="s">
        <v>38</v>
      </c>
      <c r="G9" s="6" t="s">
        <v>40</v>
      </c>
      <c r="H9" s="6" t="s">
        <v>42</v>
      </c>
    </row>
    <row r="10" spans="1:20" x14ac:dyDescent="0.3">
      <c r="A10" s="58"/>
      <c r="C10" t="s">
        <v>34</v>
      </c>
      <c r="D10" t="s">
        <v>35</v>
      </c>
      <c r="E10" t="s">
        <v>36</v>
      </c>
      <c r="F10" t="s">
        <v>29</v>
      </c>
      <c r="G10" t="s">
        <v>1</v>
      </c>
      <c r="H10" s="5" t="s">
        <v>31</v>
      </c>
    </row>
    <row r="11" spans="1:20" x14ac:dyDescent="0.3">
      <c r="A11" s="58"/>
      <c r="C11" s="2" t="s">
        <v>66</v>
      </c>
      <c r="D11" s="2" t="s">
        <v>66</v>
      </c>
      <c r="E11" s="2"/>
      <c r="F11" s="2" t="s">
        <v>67</v>
      </c>
      <c r="G11" s="2" t="s">
        <v>68</v>
      </c>
      <c r="H11" s="10"/>
    </row>
    <row r="12" spans="1:20" x14ac:dyDescent="0.3">
      <c r="A12" s="58"/>
      <c r="B12" t="s">
        <v>37</v>
      </c>
      <c r="C12" s="2">
        <v>1</v>
      </c>
      <c r="D12" s="2">
        <v>1</v>
      </c>
      <c r="E12" s="2">
        <v>1</v>
      </c>
      <c r="F12" s="2">
        <v>50</v>
      </c>
      <c r="G12" s="7">
        <v>1</v>
      </c>
      <c r="H12" s="8">
        <f>(64/96)*(C12-D12)*E12*(250/F12)*G12</f>
        <v>0</v>
      </c>
    </row>
    <row r="13" spans="1:20" x14ac:dyDescent="0.3">
      <c r="A13" s="58"/>
      <c r="B13" t="s">
        <v>11</v>
      </c>
      <c r="C13" s="2">
        <v>6</v>
      </c>
      <c r="D13" s="2">
        <v>1</v>
      </c>
      <c r="E13" s="2">
        <v>1</v>
      </c>
      <c r="F13" s="2">
        <v>50</v>
      </c>
      <c r="G13" s="7">
        <v>2.3744598540999999</v>
      </c>
      <c r="H13" s="8">
        <f>(64/96)*(C13-D13)*E13*(250/F13)*G13</f>
        <v>39.574330901666663</v>
      </c>
    </row>
    <row r="14" spans="1:20" x14ac:dyDescent="0.3">
      <c r="A14" s="58"/>
      <c r="B14" t="s">
        <v>12</v>
      </c>
      <c r="C14" s="2">
        <v>5</v>
      </c>
      <c r="D14" s="2">
        <v>1</v>
      </c>
      <c r="E14" s="2">
        <v>1</v>
      </c>
      <c r="F14" s="2">
        <v>50</v>
      </c>
      <c r="G14" s="7">
        <v>0.59361496349999998</v>
      </c>
      <c r="H14" s="8">
        <f>(64/96)*(C14-D14)*E14*(250/F14)*G14</f>
        <v>7.9148661799999989</v>
      </c>
    </row>
    <row r="15" spans="1:20" x14ac:dyDescent="0.3">
      <c r="A15" s="58"/>
      <c r="B15" t="s">
        <v>13</v>
      </c>
      <c r="C15" s="2">
        <v>10</v>
      </c>
      <c r="D15" s="2">
        <v>1</v>
      </c>
      <c r="E15" s="2">
        <v>1</v>
      </c>
      <c r="F15" s="2">
        <v>50</v>
      </c>
      <c r="G15" s="7">
        <f>1/0.5</f>
        <v>2</v>
      </c>
      <c r="H15" s="8">
        <f>(64/96)*(C15-D15)*E15*(250/F15)*G15</f>
        <v>60</v>
      </c>
    </row>
    <row r="17" spans="1:20" x14ac:dyDescent="0.3">
      <c r="A17" s="58">
        <v>2</v>
      </c>
      <c r="B17" s="1" t="s">
        <v>6</v>
      </c>
      <c r="C17" s="43" t="s">
        <v>43</v>
      </c>
      <c r="D17" s="43"/>
      <c r="E17" s="43"/>
      <c r="F17" s="43"/>
      <c r="G17" s="43"/>
      <c r="H17" s="43"/>
      <c r="I17" s="43"/>
      <c r="J17" s="43"/>
      <c r="K17" s="43"/>
      <c r="L17" s="43"/>
      <c r="M17" s="43"/>
      <c r="N17" s="43"/>
      <c r="O17" s="43"/>
      <c r="P17" s="43"/>
      <c r="Q17" s="43"/>
      <c r="R17" s="43"/>
      <c r="S17" s="43"/>
    </row>
    <row r="18" spans="1:20" x14ac:dyDescent="0.3">
      <c r="A18" s="58"/>
      <c r="B18" s="1" t="s">
        <v>2</v>
      </c>
      <c r="C18" s="47" t="s">
        <v>31</v>
      </c>
      <c r="D18" s="43"/>
      <c r="E18" s="43"/>
      <c r="F18" s="43"/>
      <c r="G18" s="43"/>
      <c r="H18" s="43"/>
      <c r="I18" s="43"/>
      <c r="J18" s="43"/>
      <c r="K18" s="43"/>
      <c r="L18" s="43"/>
      <c r="M18" s="43"/>
      <c r="N18" s="43"/>
      <c r="O18" s="43"/>
      <c r="P18" s="43"/>
      <c r="Q18" s="43"/>
      <c r="R18" s="43"/>
      <c r="S18" s="43"/>
    </row>
    <row r="19" spans="1:20" x14ac:dyDescent="0.3">
      <c r="A19" s="58"/>
      <c r="B19" s="1" t="s">
        <v>3</v>
      </c>
      <c r="C19" s="43" t="s">
        <v>44</v>
      </c>
      <c r="D19" s="43"/>
      <c r="E19" s="43"/>
      <c r="F19" s="43"/>
      <c r="G19" s="43"/>
      <c r="H19" s="43"/>
      <c r="I19" s="43"/>
      <c r="J19" s="43"/>
      <c r="K19" s="43"/>
      <c r="L19" s="43"/>
      <c r="M19" s="43"/>
      <c r="N19" s="43"/>
      <c r="O19" s="43"/>
      <c r="P19" s="43"/>
      <c r="Q19" s="43"/>
      <c r="R19" s="43"/>
      <c r="S19" s="43"/>
      <c r="T19" t="s">
        <v>70</v>
      </c>
    </row>
    <row r="20" spans="1:20" x14ac:dyDescent="0.3">
      <c r="A20" s="58"/>
      <c r="B20" s="1" t="s">
        <v>4</v>
      </c>
      <c r="C20" s="43" t="s">
        <v>73</v>
      </c>
      <c r="D20" s="43"/>
      <c r="E20" s="43"/>
      <c r="F20" s="43"/>
      <c r="G20" s="43"/>
      <c r="H20" s="43"/>
      <c r="I20" s="43"/>
      <c r="J20" s="43"/>
      <c r="K20" s="43"/>
      <c r="L20" s="43"/>
      <c r="M20" s="43"/>
      <c r="N20" s="43"/>
      <c r="O20" s="43"/>
      <c r="P20" s="43"/>
      <c r="Q20" s="43"/>
      <c r="R20" s="43"/>
      <c r="S20" s="43"/>
    </row>
    <row r="21" spans="1:20" x14ac:dyDescent="0.3">
      <c r="A21" s="58"/>
      <c r="B21" s="1" t="s">
        <v>8</v>
      </c>
      <c r="C21" s="43" t="s">
        <v>39</v>
      </c>
      <c r="D21" s="43"/>
      <c r="E21" s="43"/>
      <c r="F21" s="43"/>
      <c r="G21" s="43"/>
      <c r="H21" s="43"/>
      <c r="I21" s="43"/>
      <c r="J21" s="43"/>
      <c r="K21" s="43"/>
      <c r="L21" s="43"/>
      <c r="M21" s="43"/>
      <c r="N21" s="43"/>
      <c r="O21" s="43"/>
      <c r="P21" s="43"/>
      <c r="Q21" s="43"/>
      <c r="R21" s="43"/>
      <c r="S21" s="43"/>
    </row>
    <row r="22" spans="1:20" x14ac:dyDescent="0.3">
      <c r="A22" s="58"/>
      <c r="B22" s="1"/>
      <c r="C22" s="43" t="s">
        <v>48</v>
      </c>
      <c r="D22" s="43"/>
      <c r="E22" s="43"/>
      <c r="F22" s="43"/>
      <c r="G22" s="43"/>
      <c r="H22" s="43"/>
      <c r="I22" s="43"/>
      <c r="J22" s="43"/>
      <c r="K22" s="43"/>
      <c r="L22" s="43"/>
      <c r="M22" s="43"/>
      <c r="N22" s="43"/>
      <c r="O22" s="43"/>
      <c r="P22" s="43"/>
      <c r="Q22" s="43"/>
      <c r="R22" s="43"/>
      <c r="S22" s="43"/>
    </row>
    <row r="23" spans="1:20" x14ac:dyDescent="0.3">
      <c r="A23" s="58"/>
      <c r="B23" s="1"/>
      <c r="C23" s="43" t="s">
        <v>49</v>
      </c>
      <c r="D23" s="43"/>
      <c r="E23" s="43"/>
      <c r="F23" s="43"/>
      <c r="G23" s="43"/>
      <c r="H23" s="43"/>
      <c r="I23" s="43"/>
      <c r="J23" s="43"/>
      <c r="K23" s="43"/>
      <c r="L23" s="43"/>
      <c r="M23" s="43"/>
      <c r="N23" s="43"/>
      <c r="O23" s="43"/>
      <c r="P23" s="43"/>
      <c r="Q23" s="43"/>
      <c r="R23" s="43"/>
      <c r="S23" s="43"/>
    </row>
    <row r="24" spans="1:20" x14ac:dyDescent="0.3">
      <c r="A24" s="58"/>
      <c r="B24" s="1"/>
      <c r="C24" s="43" t="s">
        <v>69</v>
      </c>
      <c r="D24" s="43"/>
      <c r="E24" s="43"/>
      <c r="F24" s="43"/>
      <c r="G24" s="43"/>
      <c r="H24" s="43"/>
      <c r="I24" s="43"/>
      <c r="J24" s="43"/>
      <c r="K24" s="43"/>
      <c r="L24" s="43"/>
      <c r="M24" s="43"/>
      <c r="N24" s="43"/>
      <c r="O24" s="43"/>
      <c r="P24" s="43"/>
      <c r="Q24" s="43"/>
      <c r="R24" s="43"/>
      <c r="S24" s="43"/>
    </row>
    <row r="25" spans="1:20" x14ac:dyDescent="0.3">
      <c r="A25" s="58"/>
      <c r="B25" s="1"/>
      <c r="C25" s="43" t="s">
        <v>71</v>
      </c>
      <c r="D25" s="43"/>
      <c r="E25" s="43"/>
      <c r="F25" s="43"/>
      <c r="G25" s="43"/>
      <c r="H25" s="43"/>
      <c r="I25" s="43"/>
      <c r="J25" s="43"/>
      <c r="K25" s="43"/>
      <c r="L25" s="43"/>
      <c r="M25" s="43"/>
      <c r="N25" s="43"/>
      <c r="O25" s="43"/>
      <c r="P25" s="43"/>
      <c r="Q25" s="43"/>
      <c r="R25" s="43"/>
      <c r="S25" s="43"/>
    </row>
    <row r="26" spans="1:20" x14ac:dyDescent="0.3">
      <c r="A26" s="58"/>
      <c r="B26" s="1"/>
      <c r="C26" s="43" t="s">
        <v>50</v>
      </c>
      <c r="D26" s="43"/>
      <c r="E26" s="43"/>
      <c r="F26" s="43"/>
      <c r="G26" s="43"/>
      <c r="H26" s="43"/>
      <c r="I26" s="43"/>
      <c r="J26" s="43"/>
      <c r="K26" s="43"/>
      <c r="L26" s="43"/>
      <c r="M26" s="43"/>
      <c r="N26" s="43"/>
      <c r="O26" s="43"/>
      <c r="P26" s="43"/>
      <c r="Q26" s="43"/>
      <c r="R26" s="43"/>
      <c r="S26" s="43"/>
    </row>
    <row r="27" spans="1:20" x14ac:dyDescent="0.3">
      <c r="A27" s="58"/>
      <c r="B27" s="1" t="s">
        <v>10</v>
      </c>
      <c r="C27" s="48" t="s">
        <v>51</v>
      </c>
      <c r="D27" s="48"/>
      <c r="E27" s="48"/>
      <c r="G27" s="6" t="s">
        <v>38</v>
      </c>
      <c r="J27" s="6" t="s">
        <v>40</v>
      </c>
      <c r="K27" s="6" t="s">
        <v>42</v>
      </c>
    </row>
    <row r="28" spans="1:20" x14ac:dyDescent="0.3">
      <c r="A28" s="58"/>
      <c r="C28" t="s">
        <v>45</v>
      </c>
      <c r="D28" t="s">
        <v>46</v>
      </c>
      <c r="E28" t="s">
        <v>47</v>
      </c>
      <c r="F28" t="s">
        <v>34</v>
      </c>
      <c r="G28" t="s">
        <v>35</v>
      </c>
      <c r="H28" t="s">
        <v>36</v>
      </c>
      <c r="I28" t="s">
        <v>29</v>
      </c>
      <c r="J28" t="s">
        <v>1</v>
      </c>
      <c r="K28" s="5" t="s">
        <v>31</v>
      </c>
    </row>
    <row r="29" spans="1:20" x14ac:dyDescent="0.3">
      <c r="A29" s="58"/>
      <c r="B29" t="s">
        <v>37</v>
      </c>
      <c r="C29" s="2">
        <v>0</v>
      </c>
      <c r="D29" s="2">
        <v>0</v>
      </c>
      <c r="E29" s="9">
        <f t="shared" ref="E29:E31" si="0">(20.9-C29)/(20.9-D29)</f>
        <v>1</v>
      </c>
      <c r="F29" s="2">
        <v>2</v>
      </c>
      <c r="G29" s="2">
        <v>2</v>
      </c>
      <c r="H29" s="2">
        <v>1</v>
      </c>
      <c r="I29" s="2">
        <v>50</v>
      </c>
      <c r="J29" s="7">
        <v>1</v>
      </c>
      <c r="K29" s="8">
        <f>(64/96)*(F29-G29)*H29*(250/I29)*J29</f>
        <v>0</v>
      </c>
    </row>
    <row r="30" spans="1:20" x14ac:dyDescent="0.3">
      <c r="A30" s="58"/>
      <c r="B30" t="s">
        <v>11</v>
      </c>
      <c r="C30" s="2">
        <v>10</v>
      </c>
      <c r="D30" s="2">
        <v>10</v>
      </c>
      <c r="E30" s="9">
        <f t="shared" si="0"/>
        <v>1</v>
      </c>
      <c r="F30" s="2">
        <v>7</v>
      </c>
      <c r="G30" s="2">
        <v>2</v>
      </c>
      <c r="H30" s="2">
        <v>1</v>
      </c>
      <c r="I30" s="2">
        <v>50</v>
      </c>
      <c r="J30" s="7">
        <v>2.3744598540999999</v>
      </c>
      <c r="K30" s="8">
        <f>(64/96)*(F30-G30)*H30*(250/I30)*J30</f>
        <v>39.574330901666663</v>
      </c>
    </row>
    <row r="31" spans="1:20" x14ac:dyDescent="0.3">
      <c r="A31" s="58"/>
      <c r="B31" t="s">
        <v>12</v>
      </c>
      <c r="C31" s="2">
        <v>3</v>
      </c>
      <c r="D31" s="2">
        <v>2</v>
      </c>
      <c r="E31" s="9">
        <f t="shared" si="0"/>
        <v>0.94708994708994709</v>
      </c>
      <c r="F31" s="2">
        <v>8</v>
      </c>
      <c r="G31" s="2">
        <v>2</v>
      </c>
      <c r="H31" s="2">
        <v>1</v>
      </c>
      <c r="I31" s="2">
        <v>50</v>
      </c>
      <c r="J31" s="7">
        <f>0.5936149635*E31</f>
        <v>0.56220676437301587</v>
      </c>
      <c r="K31" s="8">
        <f>(64/96)*(F31-G31)*H31*(250/I31)*J31</f>
        <v>11.244135287460317</v>
      </c>
    </row>
    <row r="32" spans="1:20" x14ac:dyDescent="0.3">
      <c r="A32" s="58"/>
      <c r="B32" t="s">
        <v>13</v>
      </c>
      <c r="C32" s="2">
        <v>5</v>
      </c>
      <c r="D32" s="2">
        <v>10</v>
      </c>
      <c r="E32" s="9">
        <f>(20.9-C32)/(20.9-D32)</f>
        <v>1.4587155963302754</v>
      </c>
      <c r="F32" s="2">
        <v>10</v>
      </c>
      <c r="G32" s="2">
        <v>2</v>
      </c>
      <c r="H32" s="2">
        <v>1</v>
      </c>
      <c r="I32" s="2">
        <v>50</v>
      </c>
      <c r="J32" s="7">
        <f>1/0.5</f>
        <v>2</v>
      </c>
      <c r="K32" s="8">
        <f>(64/96)*(F32-G32)*H32*(250/I32)*J32</f>
        <v>53.333333333333329</v>
      </c>
    </row>
  </sheetData>
  <mergeCells count="21">
    <mergeCell ref="A1:A15"/>
    <mergeCell ref="A17:A32"/>
    <mergeCell ref="C22:S22"/>
    <mergeCell ref="C24:S24"/>
    <mergeCell ref="C21:S21"/>
    <mergeCell ref="C23:S23"/>
    <mergeCell ref="C27:E27"/>
    <mergeCell ref="C8:S8"/>
    <mergeCell ref="C25:S25"/>
    <mergeCell ref="C7:S7"/>
    <mergeCell ref="C17:S17"/>
    <mergeCell ref="C18:S18"/>
    <mergeCell ref="C19:S19"/>
    <mergeCell ref="C20:S20"/>
    <mergeCell ref="C26:S26"/>
    <mergeCell ref="C1:S1"/>
    <mergeCell ref="C2:S2"/>
    <mergeCell ref="C3:S3"/>
    <mergeCell ref="C4:S4"/>
    <mergeCell ref="C5:S5"/>
    <mergeCell ref="C6:S6"/>
  </mergeCells>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EDFE-4140-4C4B-897A-60926FA4E4E5}">
  <dimension ref="A1:R27"/>
  <sheetViews>
    <sheetView workbookViewId="0">
      <selection activeCell="K24" sqref="K24"/>
    </sheetView>
  </sheetViews>
  <sheetFormatPr defaultRowHeight="14.4" x14ac:dyDescent="0.3"/>
  <cols>
    <col min="1" max="1" width="12.21875" customWidth="1"/>
    <col min="2" max="2" width="17.6640625" bestFit="1" customWidth="1"/>
    <col min="3" max="3" width="10.6640625" bestFit="1" customWidth="1"/>
    <col min="4" max="4" width="12.6640625" bestFit="1" customWidth="1"/>
    <col min="5" max="6" width="18.77734375" bestFit="1" customWidth="1"/>
    <col min="7" max="7" width="11.5546875" bestFit="1" customWidth="1"/>
    <col min="8" max="8" width="8.77734375" bestFit="1" customWidth="1"/>
    <col min="9" max="9" width="10.5546875" bestFit="1" customWidth="1"/>
    <col min="10" max="11" width="12.109375" bestFit="1" customWidth="1"/>
    <col min="12" max="12" width="8.33203125" bestFit="1" customWidth="1"/>
    <col min="13" max="13" width="8.44140625" bestFit="1" customWidth="1"/>
    <col min="14" max="14" width="13.109375" bestFit="1" customWidth="1"/>
  </cols>
  <sheetData>
    <row r="1" spans="1:18" x14ac:dyDescent="0.3">
      <c r="A1" s="44">
        <v>1</v>
      </c>
      <c r="B1" s="1" t="s">
        <v>6</v>
      </c>
      <c r="C1" s="43" t="s">
        <v>86</v>
      </c>
      <c r="D1" s="43"/>
      <c r="E1" s="43"/>
      <c r="F1" s="43"/>
      <c r="G1" s="43"/>
      <c r="H1" s="43"/>
      <c r="I1" s="43"/>
      <c r="J1" s="43"/>
      <c r="K1" s="43"/>
      <c r="L1" s="43"/>
      <c r="M1" s="43"/>
      <c r="N1" s="43"/>
      <c r="O1" s="43"/>
      <c r="P1" s="43"/>
      <c r="Q1" s="43"/>
      <c r="R1" s="43"/>
    </row>
    <row r="2" spans="1:18" x14ac:dyDescent="0.3">
      <c r="A2" s="45"/>
      <c r="B2" s="1" t="s">
        <v>2</v>
      </c>
      <c r="C2" s="43" t="s">
        <v>1</v>
      </c>
      <c r="D2" s="43"/>
      <c r="E2" s="43"/>
      <c r="F2" s="43"/>
      <c r="G2" s="43"/>
      <c r="H2" s="43"/>
      <c r="I2" s="43"/>
      <c r="J2" s="43"/>
      <c r="K2" s="43"/>
      <c r="L2" s="43"/>
      <c r="M2" s="43"/>
      <c r="N2" s="43"/>
      <c r="O2" s="43"/>
      <c r="P2" s="43"/>
      <c r="Q2" s="43"/>
      <c r="R2" s="43"/>
    </row>
    <row r="3" spans="1:18" x14ac:dyDescent="0.3">
      <c r="A3" s="45"/>
      <c r="B3" s="1" t="s">
        <v>3</v>
      </c>
      <c r="C3" s="43" t="s">
        <v>80</v>
      </c>
      <c r="D3" s="43"/>
      <c r="E3" s="43"/>
      <c r="F3" s="43"/>
      <c r="G3" s="43"/>
      <c r="H3" s="43"/>
      <c r="I3" s="43"/>
      <c r="J3" s="43"/>
      <c r="K3" s="43"/>
      <c r="L3" s="43"/>
      <c r="M3" s="43"/>
      <c r="N3" s="43"/>
      <c r="O3" s="43"/>
      <c r="P3" s="43"/>
      <c r="Q3" s="43"/>
      <c r="R3" s="43"/>
    </row>
    <row r="4" spans="1:18" x14ac:dyDescent="0.3">
      <c r="A4" s="45"/>
      <c r="B4" s="1" t="s">
        <v>4</v>
      </c>
      <c r="C4" s="43" t="s">
        <v>83</v>
      </c>
      <c r="D4" s="43"/>
      <c r="E4" s="43"/>
      <c r="F4" s="43"/>
      <c r="G4" s="43"/>
      <c r="H4" s="43"/>
      <c r="I4" s="43"/>
      <c r="J4" s="43"/>
      <c r="K4" s="43"/>
      <c r="L4" s="43"/>
      <c r="M4" s="43"/>
      <c r="N4" s="43"/>
      <c r="O4" s="43"/>
      <c r="P4" s="43"/>
      <c r="Q4" s="43"/>
      <c r="R4" s="43"/>
    </row>
    <row r="5" spans="1:18" x14ac:dyDescent="0.3">
      <c r="A5" s="45"/>
      <c r="B5" s="1" t="s">
        <v>8</v>
      </c>
      <c r="C5" s="43" t="s">
        <v>9</v>
      </c>
      <c r="D5" s="43"/>
      <c r="E5" s="43"/>
      <c r="F5" s="43"/>
      <c r="G5" s="43"/>
      <c r="H5" s="43"/>
      <c r="I5" s="43"/>
      <c r="J5" s="43"/>
      <c r="K5" s="43"/>
      <c r="L5" s="43"/>
      <c r="M5" s="43"/>
      <c r="N5" s="43"/>
      <c r="O5" s="43"/>
      <c r="P5" s="43"/>
      <c r="Q5" s="43"/>
      <c r="R5" s="43"/>
    </row>
    <row r="6" spans="1:18" x14ac:dyDescent="0.3">
      <c r="A6" s="45"/>
      <c r="C6" s="43" t="s">
        <v>24</v>
      </c>
      <c r="D6" s="43"/>
      <c r="E6" s="43"/>
      <c r="F6" s="43"/>
      <c r="G6" s="43"/>
      <c r="H6" s="43"/>
      <c r="I6" s="43"/>
      <c r="J6" s="43"/>
      <c r="K6" s="43"/>
      <c r="L6" s="43"/>
      <c r="M6" s="43"/>
      <c r="N6" s="43"/>
      <c r="O6" s="43"/>
      <c r="P6" s="43"/>
      <c r="Q6" s="43"/>
      <c r="R6" s="43"/>
    </row>
    <row r="7" spans="1:18" x14ac:dyDescent="0.3">
      <c r="A7" s="45"/>
      <c r="C7" s="43" t="s">
        <v>81</v>
      </c>
      <c r="D7" s="43"/>
      <c r="E7" s="43"/>
      <c r="F7" s="43"/>
      <c r="G7" s="43"/>
      <c r="H7" s="43"/>
      <c r="I7" s="43"/>
      <c r="J7" s="43"/>
      <c r="K7" s="43"/>
      <c r="L7" s="43"/>
      <c r="M7" s="43"/>
      <c r="N7" s="43"/>
      <c r="O7" s="43"/>
      <c r="P7" s="43"/>
      <c r="Q7" s="43"/>
      <c r="R7" s="43"/>
    </row>
    <row r="8" spans="1:18" ht="15" thickBot="1" x14ac:dyDescent="0.35">
      <c r="A8" s="45"/>
      <c r="B8" s="1" t="s">
        <v>10</v>
      </c>
    </row>
    <row r="9" spans="1:18" x14ac:dyDescent="0.3">
      <c r="A9" s="45"/>
      <c r="C9" s="11" t="s">
        <v>14</v>
      </c>
      <c r="D9" s="12" t="s">
        <v>15</v>
      </c>
      <c r="E9" s="12" t="s">
        <v>16</v>
      </c>
      <c r="F9" s="12" t="s">
        <v>17</v>
      </c>
      <c r="G9" s="12" t="s">
        <v>18</v>
      </c>
      <c r="H9" s="13" t="s">
        <v>1</v>
      </c>
    </row>
    <row r="10" spans="1:18" x14ac:dyDescent="0.3">
      <c r="A10" s="45"/>
      <c r="C10" s="14"/>
      <c r="D10" s="2" t="s">
        <v>65</v>
      </c>
      <c r="E10" s="2" t="s">
        <v>60</v>
      </c>
      <c r="F10" s="2" t="s">
        <v>63</v>
      </c>
      <c r="G10" s="2" t="s">
        <v>64</v>
      </c>
      <c r="H10" s="15"/>
    </row>
    <row r="11" spans="1:18" x14ac:dyDescent="0.3">
      <c r="A11" s="45"/>
      <c r="B11" t="s">
        <v>82</v>
      </c>
      <c r="C11" s="14">
        <v>1</v>
      </c>
      <c r="D11" s="2">
        <v>500</v>
      </c>
      <c r="E11" s="2">
        <v>760</v>
      </c>
      <c r="F11" s="3">
        <v>0</v>
      </c>
      <c r="G11" s="2">
        <v>25</v>
      </c>
      <c r="H11" s="18">
        <f>C11*(298.15/760)*D11*((E11+F11/13.6)/(G11+273.15))/1000</f>
        <v>0.5</v>
      </c>
    </row>
    <row r="12" spans="1:18" x14ac:dyDescent="0.3">
      <c r="A12" s="45"/>
      <c r="B12" t="s">
        <v>84</v>
      </c>
      <c r="C12" s="14">
        <v>1</v>
      </c>
      <c r="D12" s="2">
        <v>500</v>
      </c>
      <c r="E12" s="2">
        <v>674</v>
      </c>
      <c r="F12" s="3">
        <v>13.6</v>
      </c>
      <c r="G12" s="2">
        <v>20</v>
      </c>
      <c r="H12" s="18">
        <f>C12*(298.15/760)*D12*((E12+F12/13.6)/(G12+273.15))/1000</f>
        <v>0.45165320879377358</v>
      </c>
    </row>
    <row r="13" spans="1:18" ht="15" thickBot="1" x14ac:dyDescent="0.35">
      <c r="A13" s="45"/>
      <c r="B13" t="s">
        <v>85</v>
      </c>
      <c r="C13" s="19">
        <v>1</v>
      </c>
      <c r="D13" s="20">
        <v>500</v>
      </c>
      <c r="E13" s="20">
        <v>674</v>
      </c>
      <c r="F13" s="42">
        <v>5</v>
      </c>
      <c r="G13" s="20">
        <v>30</v>
      </c>
      <c r="H13" s="21">
        <f>C13*(298.15/760)*D13*((E13+F13/13.6)/(G13+273.15))/1000</f>
        <v>0.43634537785399846</v>
      </c>
    </row>
    <row r="15" spans="1:18" x14ac:dyDescent="0.3">
      <c r="A15" s="44">
        <v>2</v>
      </c>
      <c r="B15" s="1" t="s">
        <v>6</v>
      </c>
      <c r="C15" s="43" t="s">
        <v>87</v>
      </c>
      <c r="D15" s="43"/>
      <c r="E15" s="43"/>
      <c r="F15" s="43"/>
      <c r="G15" s="43"/>
      <c r="H15" s="43"/>
      <c r="I15" s="43"/>
      <c r="J15" s="43"/>
      <c r="K15" s="43"/>
      <c r="L15" s="43"/>
      <c r="M15" s="43"/>
      <c r="N15" s="43"/>
      <c r="O15" s="43"/>
      <c r="P15" s="43"/>
      <c r="Q15" s="43"/>
      <c r="R15" s="43"/>
    </row>
    <row r="16" spans="1:18" x14ac:dyDescent="0.3">
      <c r="A16" s="45"/>
      <c r="B16" s="1" t="s">
        <v>2</v>
      </c>
      <c r="C16" s="43" t="s">
        <v>1</v>
      </c>
      <c r="D16" s="43"/>
      <c r="E16" s="43"/>
      <c r="F16" s="43"/>
      <c r="G16" s="43"/>
      <c r="H16" s="43"/>
      <c r="I16" s="43"/>
      <c r="J16" s="43"/>
      <c r="K16" s="43"/>
      <c r="L16" s="43"/>
      <c r="M16" s="43"/>
      <c r="N16" s="43"/>
      <c r="O16" s="43"/>
      <c r="P16" s="43"/>
      <c r="Q16" s="43"/>
      <c r="R16" s="43"/>
    </row>
    <row r="17" spans="1:18" x14ac:dyDescent="0.3">
      <c r="A17" s="45"/>
      <c r="B17" s="1" t="s">
        <v>3</v>
      </c>
      <c r="C17" s="43" t="s">
        <v>80</v>
      </c>
      <c r="D17" s="43"/>
      <c r="E17" s="43"/>
      <c r="F17" s="43"/>
      <c r="G17" s="43"/>
      <c r="H17" s="43"/>
      <c r="I17" s="43"/>
      <c r="J17" s="43"/>
      <c r="K17" s="43"/>
      <c r="L17" s="43"/>
      <c r="M17" s="43"/>
      <c r="N17" s="43"/>
      <c r="O17" s="43"/>
      <c r="P17" s="43"/>
      <c r="Q17" s="43"/>
      <c r="R17" s="43"/>
    </row>
    <row r="18" spans="1:18" x14ac:dyDescent="0.3">
      <c r="A18" s="45"/>
      <c r="B18" s="1" t="s">
        <v>4</v>
      </c>
      <c r="C18" s="43" t="s">
        <v>90</v>
      </c>
      <c r="D18" s="43"/>
      <c r="E18" s="43"/>
      <c r="F18" s="43"/>
      <c r="G18" s="43"/>
      <c r="H18" s="43"/>
      <c r="I18" s="43"/>
      <c r="J18" s="43"/>
      <c r="K18" s="43"/>
      <c r="L18" s="43"/>
      <c r="M18" s="43"/>
      <c r="N18" s="43"/>
      <c r="O18" s="43"/>
      <c r="P18" s="43"/>
      <c r="Q18" s="43"/>
      <c r="R18" s="43"/>
    </row>
    <row r="19" spans="1:18" x14ac:dyDescent="0.3">
      <c r="A19" s="45"/>
      <c r="B19" s="1" t="s">
        <v>8</v>
      </c>
      <c r="C19" s="43" t="s">
        <v>52</v>
      </c>
      <c r="D19" s="43"/>
      <c r="E19" s="43"/>
      <c r="F19" s="43"/>
      <c r="G19" s="43"/>
      <c r="H19" s="43"/>
      <c r="I19" s="43"/>
      <c r="J19" s="43"/>
      <c r="K19" s="43"/>
      <c r="L19" s="43"/>
      <c r="M19" s="43"/>
      <c r="N19" s="43"/>
      <c r="O19" s="43"/>
      <c r="P19" s="43"/>
      <c r="Q19" s="43"/>
      <c r="R19" s="43"/>
    </row>
    <row r="20" spans="1:18" x14ac:dyDescent="0.3">
      <c r="A20" s="45"/>
      <c r="C20" s="43" t="s">
        <v>56</v>
      </c>
      <c r="D20" s="43"/>
      <c r="E20" s="43"/>
      <c r="F20" s="43"/>
      <c r="G20" s="43"/>
      <c r="H20" s="43"/>
      <c r="I20" s="43"/>
      <c r="J20" s="43"/>
      <c r="K20" s="43"/>
      <c r="L20" s="43"/>
      <c r="M20" s="43"/>
      <c r="N20" s="43"/>
      <c r="O20" s="43"/>
      <c r="P20" s="43"/>
      <c r="Q20" s="43"/>
      <c r="R20" s="43"/>
    </row>
    <row r="21" spans="1:18" x14ac:dyDescent="0.3">
      <c r="A21" s="45"/>
      <c r="C21" s="43" t="s">
        <v>88</v>
      </c>
      <c r="D21" s="43"/>
      <c r="E21" s="43"/>
      <c r="F21" s="43"/>
      <c r="G21" s="43"/>
      <c r="H21" s="43"/>
      <c r="I21" s="43"/>
      <c r="J21" s="43"/>
      <c r="K21" s="43"/>
      <c r="L21" s="43"/>
      <c r="M21" s="43"/>
      <c r="N21" s="43"/>
      <c r="O21" s="43"/>
      <c r="P21" s="43"/>
      <c r="Q21" s="43"/>
      <c r="R21" s="43"/>
    </row>
    <row r="22" spans="1:18" ht="15" thickBot="1" x14ac:dyDescent="0.35">
      <c r="A22" s="45"/>
      <c r="B22" s="1" t="s">
        <v>10</v>
      </c>
    </row>
    <row r="23" spans="1:18" x14ac:dyDescent="0.3">
      <c r="A23" s="45"/>
      <c r="C23" s="11" t="s">
        <v>54</v>
      </c>
      <c r="D23" s="12" t="s">
        <v>55</v>
      </c>
      <c r="E23" s="12" t="s">
        <v>89</v>
      </c>
      <c r="F23" s="12" t="s">
        <v>16</v>
      </c>
      <c r="G23" s="12" t="s">
        <v>18</v>
      </c>
      <c r="H23" s="13" t="s">
        <v>1</v>
      </c>
    </row>
    <row r="24" spans="1:18" x14ac:dyDescent="0.3">
      <c r="A24" s="45"/>
      <c r="C24" s="14" t="s">
        <v>61</v>
      </c>
      <c r="D24" s="2" t="s">
        <v>62</v>
      </c>
      <c r="E24" s="2" t="s">
        <v>65</v>
      </c>
      <c r="F24" s="2" t="s">
        <v>60</v>
      </c>
      <c r="G24" s="2" t="s">
        <v>59</v>
      </c>
      <c r="H24" s="15"/>
    </row>
    <row r="25" spans="1:18" x14ac:dyDescent="0.3">
      <c r="A25" s="45"/>
      <c r="B25" t="s">
        <v>82</v>
      </c>
      <c r="C25" s="14">
        <v>1</v>
      </c>
      <c r="D25" s="2">
        <v>500</v>
      </c>
      <c r="E25" s="2">
        <f>D25*C25</f>
        <v>500</v>
      </c>
      <c r="F25" s="2">
        <v>760</v>
      </c>
      <c r="G25" s="2">
        <v>25</v>
      </c>
      <c r="H25" s="18">
        <f>(C25*D25*F25*298)/((G25+273)*760)/1000</f>
        <v>0.5</v>
      </c>
    </row>
    <row r="26" spans="1:18" x14ac:dyDescent="0.3">
      <c r="A26" s="45"/>
      <c r="B26" t="s">
        <v>84</v>
      </c>
      <c r="C26" s="14">
        <v>4</v>
      </c>
      <c r="D26" s="2">
        <v>125</v>
      </c>
      <c r="E26" s="2">
        <f>D26*C26</f>
        <v>500</v>
      </c>
      <c r="F26" s="2">
        <v>674</v>
      </c>
      <c r="G26" s="2">
        <v>20</v>
      </c>
      <c r="H26" s="18">
        <f>(C26*D26*F26*298)/((G26+273)*760)/1000</f>
        <v>0.4509879647925274</v>
      </c>
    </row>
    <row r="27" spans="1:18" ht="15" thickBot="1" x14ac:dyDescent="0.35">
      <c r="A27" s="45"/>
      <c r="B27" t="s">
        <v>85</v>
      </c>
      <c r="C27" s="19">
        <v>2</v>
      </c>
      <c r="D27" s="20">
        <v>250</v>
      </c>
      <c r="E27" s="20">
        <f>D27*C27</f>
        <v>500</v>
      </c>
      <c r="F27" s="20">
        <v>674</v>
      </c>
      <c r="G27" s="20">
        <v>30</v>
      </c>
      <c r="H27" s="21">
        <f>(C27*D27*F27*298)/((G27+273)*760)/1000</f>
        <v>0.43610387354524927</v>
      </c>
    </row>
  </sheetData>
  <mergeCells count="16">
    <mergeCell ref="A15:A27"/>
    <mergeCell ref="C15:R15"/>
    <mergeCell ref="C16:R16"/>
    <mergeCell ref="C17:R17"/>
    <mergeCell ref="C18:R18"/>
    <mergeCell ref="C19:R19"/>
    <mergeCell ref="C20:R20"/>
    <mergeCell ref="C21:R21"/>
    <mergeCell ref="A1:A13"/>
    <mergeCell ref="C1:R1"/>
    <mergeCell ref="C2:R2"/>
    <mergeCell ref="C3:R3"/>
    <mergeCell ref="C4:R4"/>
    <mergeCell ref="C5:R5"/>
    <mergeCell ref="C6:R6"/>
    <mergeCell ref="C7:R7"/>
  </mergeCells>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7B41-9E0F-41D0-B207-B999BE2D4A5B}">
  <dimension ref="A1:R52"/>
  <sheetViews>
    <sheetView tabSelected="1" workbookViewId="0">
      <selection activeCell="P12" sqref="P12"/>
    </sheetView>
  </sheetViews>
  <sheetFormatPr defaultRowHeight="14.4" x14ac:dyDescent="0.3"/>
  <cols>
    <col min="2" max="2" width="17.6640625" bestFit="1" customWidth="1"/>
    <col min="3" max="3" width="5.6640625" bestFit="1" customWidth="1"/>
    <col min="4" max="4" width="12.6640625" bestFit="1" customWidth="1"/>
    <col min="5" max="5" width="7.21875" bestFit="1" customWidth="1"/>
    <col min="6" max="6" width="18.77734375" bestFit="1" customWidth="1"/>
    <col min="7" max="7" width="11.5546875" bestFit="1" customWidth="1"/>
    <col min="8" max="8" width="8.77734375" bestFit="1" customWidth="1"/>
    <col min="9" max="9" width="10.5546875" bestFit="1" customWidth="1"/>
    <col min="10" max="10" width="13.88671875" bestFit="1" customWidth="1"/>
    <col min="11" max="11" width="12.33203125" bestFit="1" customWidth="1"/>
    <col min="12" max="12" width="13.109375" bestFit="1" customWidth="1"/>
    <col min="13" max="13" width="13.88671875" bestFit="1" customWidth="1"/>
    <col min="14" max="14" width="12.33203125" bestFit="1" customWidth="1"/>
    <col min="15" max="15" width="13.109375" bestFit="1" customWidth="1"/>
    <col min="16" max="16" width="13.6640625" bestFit="1" customWidth="1"/>
    <col min="17" max="17" width="10" bestFit="1" customWidth="1"/>
    <col min="19" max="19" width="10.88671875" bestFit="1" customWidth="1"/>
  </cols>
  <sheetData>
    <row r="1" spans="1:18" x14ac:dyDescent="0.3">
      <c r="A1" s="45">
        <v>1</v>
      </c>
      <c r="B1" s="1" t="s">
        <v>6</v>
      </c>
      <c r="C1" s="43" t="s">
        <v>30</v>
      </c>
      <c r="D1" s="43"/>
      <c r="E1" s="43"/>
      <c r="F1" s="43"/>
      <c r="G1" s="43"/>
      <c r="H1" s="43"/>
      <c r="I1" s="43"/>
      <c r="J1" s="43"/>
      <c r="K1" s="43"/>
      <c r="L1" s="43"/>
      <c r="M1" s="43"/>
      <c r="N1" s="43"/>
      <c r="O1" s="43"/>
      <c r="P1" s="43"/>
      <c r="Q1" s="43"/>
      <c r="R1" s="43"/>
    </row>
    <row r="2" spans="1:18" x14ac:dyDescent="0.3">
      <c r="A2" s="45"/>
      <c r="B2" s="1" t="s">
        <v>2</v>
      </c>
      <c r="C2" s="47" t="s">
        <v>31</v>
      </c>
      <c r="D2" s="43"/>
      <c r="E2" s="43"/>
      <c r="F2" s="43"/>
      <c r="G2" s="43"/>
      <c r="H2" s="43"/>
      <c r="I2" s="43"/>
      <c r="J2" s="43"/>
      <c r="K2" s="43"/>
      <c r="L2" s="43"/>
      <c r="M2" s="43"/>
      <c r="N2" s="43"/>
      <c r="O2" s="43"/>
      <c r="P2" s="43"/>
      <c r="Q2" s="43"/>
      <c r="R2" s="43"/>
    </row>
    <row r="3" spans="1:18" x14ac:dyDescent="0.3">
      <c r="A3" s="45"/>
      <c r="B3" s="1" t="s">
        <v>3</v>
      </c>
      <c r="C3" s="43" t="s">
        <v>80</v>
      </c>
      <c r="D3" s="43"/>
      <c r="E3" s="43"/>
      <c r="F3" s="43"/>
      <c r="G3" s="43"/>
      <c r="H3" s="43"/>
      <c r="I3" s="43"/>
      <c r="J3" s="43"/>
      <c r="K3" s="43"/>
      <c r="L3" s="43"/>
      <c r="M3" s="43"/>
      <c r="N3" s="43"/>
      <c r="O3" s="43"/>
      <c r="P3" s="43"/>
      <c r="Q3" s="43"/>
      <c r="R3" s="43"/>
    </row>
    <row r="4" spans="1:18" x14ac:dyDescent="0.3">
      <c r="A4" s="45"/>
      <c r="B4" s="1" t="s">
        <v>4</v>
      </c>
      <c r="C4" s="43" t="s">
        <v>92</v>
      </c>
      <c r="D4" s="43"/>
      <c r="E4" s="43"/>
      <c r="F4" s="43"/>
      <c r="G4" s="43"/>
      <c r="H4" s="43"/>
      <c r="I4" s="43"/>
      <c r="J4" s="43"/>
      <c r="K4" s="43"/>
      <c r="L4" s="43"/>
      <c r="M4" s="43"/>
      <c r="N4" s="43"/>
      <c r="O4" s="43"/>
      <c r="P4" s="43"/>
      <c r="Q4" s="43"/>
      <c r="R4" s="43"/>
    </row>
    <row r="5" spans="1:18" x14ac:dyDescent="0.3">
      <c r="A5" s="45"/>
      <c r="B5" s="1" t="s">
        <v>8</v>
      </c>
      <c r="C5" s="43" t="s">
        <v>96</v>
      </c>
      <c r="D5" s="43"/>
      <c r="E5" s="43"/>
      <c r="F5" s="43"/>
      <c r="G5" s="43"/>
      <c r="H5" s="43"/>
      <c r="I5" s="43"/>
      <c r="J5" s="43"/>
      <c r="K5" s="43"/>
      <c r="L5" s="43"/>
      <c r="M5" s="43"/>
      <c r="N5" s="43"/>
      <c r="O5" s="43"/>
      <c r="P5" s="43"/>
      <c r="Q5" s="43"/>
      <c r="R5" s="43"/>
    </row>
    <row r="6" spans="1:18" ht="15" thickBot="1" x14ac:dyDescent="0.35">
      <c r="A6" s="45"/>
      <c r="B6" s="1" t="s">
        <v>10</v>
      </c>
      <c r="K6" s="6"/>
      <c r="N6" s="6"/>
      <c r="O6" s="6"/>
    </row>
    <row r="7" spans="1:18" x14ac:dyDescent="0.3">
      <c r="A7" s="45"/>
      <c r="C7" s="11" t="s">
        <v>54</v>
      </c>
      <c r="D7" s="12" t="s">
        <v>55</v>
      </c>
      <c r="E7" s="12" t="s">
        <v>89</v>
      </c>
      <c r="F7" s="12" t="s">
        <v>16</v>
      </c>
      <c r="G7" s="12" t="s">
        <v>18</v>
      </c>
      <c r="H7" s="13" t="s">
        <v>1</v>
      </c>
      <c r="I7" s="11" t="s">
        <v>1</v>
      </c>
      <c r="J7" s="22" t="s">
        <v>34</v>
      </c>
      <c r="K7" s="22" t="s">
        <v>35</v>
      </c>
      <c r="L7" s="22" t="s">
        <v>36</v>
      </c>
      <c r="M7" s="22" t="s">
        <v>29</v>
      </c>
      <c r="N7" s="23" t="s">
        <v>31</v>
      </c>
      <c r="O7" s="36" t="s">
        <v>31</v>
      </c>
    </row>
    <row r="8" spans="1:18" x14ac:dyDescent="0.3">
      <c r="A8" s="45"/>
      <c r="C8" s="14" t="s">
        <v>61</v>
      </c>
      <c r="D8" s="2" t="s">
        <v>62</v>
      </c>
      <c r="E8" s="2" t="s">
        <v>65</v>
      </c>
      <c r="F8" s="2" t="s">
        <v>60</v>
      </c>
      <c r="G8" s="2" t="s">
        <v>59</v>
      </c>
      <c r="H8" s="15"/>
      <c r="I8" s="14"/>
      <c r="J8" s="2" t="s">
        <v>66</v>
      </c>
      <c r="K8" s="2" t="s">
        <v>66</v>
      </c>
      <c r="L8" s="2"/>
      <c r="M8" s="2" t="s">
        <v>67</v>
      </c>
      <c r="N8" s="15" t="s">
        <v>97</v>
      </c>
      <c r="O8" s="37" t="s">
        <v>98</v>
      </c>
    </row>
    <row r="9" spans="1:18" x14ac:dyDescent="0.3">
      <c r="A9" s="45"/>
      <c r="B9" t="s">
        <v>37</v>
      </c>
      <c r="C9" s="16"/>
      <c r="H9" s="17"/>
      <c r="I9" s="16"/>
      <c r="J9" s="2">
        <v>0.1</v>
      </c>
      <c r="K9" s="2"/>
      <c r="L9" s="2">
        <v>1</v>
      </c>
      <c r="M9" s="2">
        <v>50</v>
      </c>
      <c r="N9" s="24"/>
      <c r="O9" s="38"/>
    </row>
    <row r="10" spans="1:18" x14ac:dyDescent="0.3">
      <c r="A10" s="45"/>
      <c r="B10" t="s">
        <v>93</v>
      </c>
      <c r="C10" s="14">
        <v>1</v>
      </c>
      <c r="D10" s="2">
        <v>500</v>
      </c>
      <c r="E10" s="2">
        <f>D10*C10</f>
        <v>500</v>
      </c>
      <c r="F10" s="2">
        <v>760</v>
      </c>
      <c r="G10" s="2">
        <v>25</v>
      </c>
      <c r="H10" s="18">
        <f>(C10*D10*F10*298)/((G10+273)*760)/1000</f>
        <v>0.5</v>
      </c>
      <c r="I10" s="25">
        <f>1/H10</f>
        <v>2</v>
      </c>
      <c r="J10" s="2">
        <v>1.1000000000000001</v>
      </c>
      <c r="K10" s="2">
        <v>0.1</v>
      </c>
      <c r="L10" s="2">
        <v>1</v>
      </c>
      <c r="M10" s="2">
        <v>50</v>
      </c>
      <c r="N10" s="32">
        <f>(64/96)*(J10-K10)*L10*(250/M10)*I10</f>
        <v>6.6666666666666661</v>
      </c>
      <c r="O10" s="39">
        <f>ROUND(N10,2-(1+INT(LOG10(ABS(N10)))))</f>
        <v>6.7</v>
      </c>
      <c r="P10" s="31"/>
    </row>
    <row r="11" spans="1:18" x14ac:dyDescent="0.3">
      <c r="A11" s="45"/>
      <c r="B11" t="s">
        <v>94</v>
      </c>
      <c r="C11" s="14">
        <v>4</v>
      </c>
      <c r="D11" s="2">
        <v>125</v>
      </c>
      <c r="E11" s="2">
        <f>D11*C11</f>
        <v>500</v>
      </c>
      <c r="F11" s="2">
        <v>674</v>
      </c>
      <c r="G11" s="2">
        <v>20</v>
      </c>
      <c r="H11" s="18">
        <f>(C11*D11*F11*298)/((G11+273)*760)/1000</f>
        <v>0.4509879647925274</v>
      </c>
      <c r="I11" s="25">
        <f>1/H11</f>
        <v>2.2173540716547508</v>
      </c>
      <c r="J11" s="2">
        <v>10.1</v>
      </c>
      <c r="K11" s="2">
        <v>0.1</v>
      </c>
      <c r="L11" s="2">
        <v>1</v>
      </c>
      <c r="M11" s="2">
        <v>50</v>
      </c>
      <c r="N11" s="34">
        <f>(64/96)*(J11-K11)*L11*(250/M11)*I11</f>
        <v>73.911802388491679</v>
      </c>
      <c r="O11" s="40">
        <f>ROUND(N11,2-(1+INT(LOG10(ABS(N11)))))</f>
        <v>74</v>
      </c>
      <c r="P11" s="31"/>
    </row>
    <row r="12" spans="1:18" x14ac:dyDescent="0.3">
      <c r="A12" s="45"/>
      <c r="B12" t="s">
        <v>95</v>
      </c>
      <c r="C12" s="14">
        <v>2</v>
      </c>
      <c r="D12" s="2">
        <v>250</v>
      </c>
      <c r="E12" s="2">
        <f>D12*C12</f>
        <v>500</v>
      </c>
      <c r="F12" s="2">
        <v>674</v>
      </c>
      <c r="G12" s="2">
        <v>30</v>
      </c>
      <c r="H12" s="18">
        <f>(C12*D12*F12*298)/((G12+273)*760)/1000</f>
        <v>0.43610387354524927</v>
      </c>
      <c r="I12" s="25">
        <f>1/H12</f>
        <v>2.2930316850218069</v>
      </c>
      <c r="J12" s="2">
        <v>100.1</v>
      </c>
      <c r="K12" s="2">
        <v>0.1</v>
      </c>
      <c r="L12" s="2">
        <v>1</v>
      </c>
      <c r="M12" s="2">
        <v>50</v>
      </c>
      <c r="N12" s="34">
        <f>(64/96)*(J12-K12)*L12*(250/M12)*I12</f>
        <v>764.34389500726877</v>
      </c>
      <c r="O12" s="40">
        <f>ROUND(N12,2-(1+INT(LOG10(ABS(N12)))))</f>
        <v>760</v>
      </c>
      <c r="P12" s="31"/>
    </row>
    <row r="13" spans="1:18" x14ac:dyDescent="0.3">
      <c r="A13" s="45"/>
      <c r="B13" t="s">
        <v>102</v>
      </c>
      <c r="C13" s="14">
        <v>1</v>
      </c>
      <c r="D13" s="2">
        <v>500</v>
      </c>
      <c r="E13" s="2">
        <v>500</v>
      </c>
      <c r="F13" s="2">
        <v>760</v>
      </c>
      <c r="G13" s="2">
        <v>25</v>
      </c>
      <c r="H13" s="18">
        <v>0.5</v>
      </c>
      <c r="I13" s="25">
        <v>2</v>
      </c>
      <c r="J13" s="2">
        <v>11</v>
      </c>
      <c r="K13" s="2">
        <v>1</v>
      </c>
      <c r="L13" s="2">
        <v>1</v>
      </c>
      <c r="M13" s="2">
        <v>50</v>
      </c>
      <c r="N13" s="34">
        <v>66.666666666666657</v>
      </c>
      <c r="O13" s="40">
        <v>67</v>
      </c>
      <c r="P13" s="31" t="s">
        <v>103</v>
      </c>
    </row>
    <row r="14" spans="1:18" ht="15" thickBot="1" x14ac:dyDescent="0.35">
      <c r="A14" s="45"/>
      <c r="B14" t="s">
        <v>99</v>
      </c>
      <c r="C14" s="19">
        <v>1</v>
      </c>
      <c r="D14" s="20">
        <v>500</v>
      </c>
      <c r="E14" s="20">
        <f>D14*C14</f>
        <v>500</v>
      </c>
      <c r="F14" s="20">
        <v>760</v>
      </c>
      <c r="G14" s="20">
        <v>25</v>
      </c>
      <c r="H14" s="21">
        <f>(C14*D14*F14*298)/((G14+273)*760)/1000</f>
        <v>0.5</v>
      </c>
      <c r="I14" s="27">
        <f>1/H14</f>
        <v>2</v>
      </c>
      <c r="J14" s="20">
        <v>11</v>
      </c>
      <c r="K14" s="20">
        <v>1</v>
      </c>
      <c r="L14" s="20">
        <v>1</v>
      </c>
      <c r="M14" s="20">
        <v>50</v>
      </c>
      <c r="N14" s="35">
        <f>(64/96)*(J14-K14)*L14*(250/M14)*I14</f>
        <v>66.666666666666657</v>
      </c>
      <c r="O14" s="41">
        <f>ROUND(N14,2-(1+INT(LOG10(ABS(N14)))))</f>
        <v>67</v>
      </c>
      <c r="P14" s="31" t="s">
        <v>103</v>
      </c>
    </row>
    <row r="42" spans="1:18" x14ac:dyDescent="0.3">
      <c r="A42" s="45">
        <v>2</v>
      </c>
      <c r="B42" s="1" t="s">
        <v>6</v>
      </c>
      <c r="C42" s="43" t="s">
        <v>43</v>
      </c>
      <c r="D42" s="43"/>
      <c r="E42" s="43"/>
      <c r="F42" s="43"/>
      <c r="G42" s="43"/>
      <c r="H42" s="43"/>
      <c r="I42" s="43"/>
      <c r="J42" s="43"/>
      <c r="K42" s="43"/>
      <c r="L42" s="43"/>
      <c r="M42" s="43"/>
      <c r="N42" s="43"/>
      <c r="O42" s="43"/>
      <c r="P42" s="43"/>
      <c r="Q42" s="43"/>
      <c r="R42" s="43"/>
    </row>
    <row r="43" spans="1:18" x14ac:dyDescent="0.3">
      <c r="A43" s="45"/>
      <c r="B43" s="1" t="s">
        <v>2</v>
      </c>
      <c r="C43" s="47" t="s">
        <v>31</v>
      </c>
      <c r="D43" s="43"/>
      <c r="E43" s="43"/>
      <c r="F43" s="43"/>
      <c r="G43" s="43"/>
      <c r="H43" s="43"/>
      <c r="I43" s="43"/>
      <c r="J43" s="43"/>
      <c r="K43" s="43"/>
      <c r="L43" s="43"/>
      <c r="M43" s="43"/>
      <c r="N43" s="43"/>
      <c r="O43" s="43"/>
      <c r="P43" s="43"/>
      <c r="Q43" s="43"/>
      <c r="R43" s="43"/>
    </row>
    <row r="44" spans="1:18" x14ac:dyDescent="0.3">
      <c r="A44" s="45"/>
      <c r="B44" s="1" t="s">
        <v>3</v>
      </c>
      <c r="C44" s="43" t="s">
        <v>80</v>
      </c>
      <c r="D44" s="43"/>
      <c r="E44" s="43"/>
      <c r="F44" s="43"/>
      <c r="G44" s="43"/>
      <c r="H44" s="43"/>
      <c r="I44" s="43"/>
      <c r="J44" s="43"/>
      <c r="K44" s="43"/>
      <c r="L44" s="43"/>
      <c r="M44" s="43"/>
      <c r="N44" s="43"/>
      <c r="O44" s="43"/>
      <c r="P44" s="43"/>
      <c r="Q44" s="43"/>
      <c r="R44" s="43"/>
    </row>
    <row r="45" spans="1:18" x14ac:dyDescent="0.3">
      <c r="A45" s="45"/>
      <c r="B45" s="1" t="s">
        <v>4</v>
      </c>
      <c r="C45" s="43" t="s">
        <v>73</v>
      </c>
      <c r="D45" s="43"/>
      <c r="E45" s="43"/>
      <c r="F45" s="43"/>
      <c r="G45" s="43"/>
      <c r="H45" s="43"/>
      <c r="I45" s="43"/>
      <c r="J45" s="43"/>
      <c r="K45" s="43"/>
      <c r="L45" s="43"/>
      <c r="M45" s="43"/>
      <c r="N45" s="43"/>
      <c r="O45" s="43"/>
      <c r="P45" s="43"/>
      <c r="Q45" s="43"/>
      <c r="R45" s="43"/>
    </row>
    <row r="46" spans="1:18" ht="15" thickBot="1" x14ac:dyDescent="0.35">
      <c r="A46" s="45"/>
      <c r="B46" s="1" t="s">
        <v>8</v>
      </c>
      <c r="C46" s="43" t="s">
        <v>96</v>
      </c>
      <c r="D46" s="43"/>
      <c r="E46" s="43"/>
      <c r="F46" s="43"/>
      <c r="G46" s="43"/>
      <c r="H46" s="43"/>
      <c r="I46" s="43"/>
      <c r="J46" s="43"/>
      <c r="K46" s="43"/>
      <c r="L46" s="43"/>
      <c r="M46" s="43"/>
      <c r="N46" s="43"/>
      <c r="O46" s="43"/>
      <c r="P46" s="43"/>
      <c r="Q46" s="43"/>
      <c r="R46" s="43"/>
    </row>
    <row r="47" spans="1:18" x14ac:dyDescent="0.3">
      <c r="A47" s="45"/>
      <c r="B47" s="1" t="s">
        <v>10</v>
      </c>
      <c r="C47" s="11" t="s">
        <v>54</v>
      </c>
      <c r="D47" s="12" t="s">
        <v>55</v>
      </c>
      <c r="E47" s="12" t="s">
        <v>89</v>
      </c>
      <c r="F47" s="12" t="s">
        <v>16</v>
      </c>
      <c r="G47" s="12" t="s">
        <v>18</v>
      </c>
      <c r="H47" s="13" t="s">
        <v>1</v>
      </c>
      <c r="I47" s="28" t="s">
        <v>45</v>
      </c>
      <c r="J47" s="22" t="s">
        <v>46</v>
      </c>
      <c r="K47" s="29" t="s">
        <v>47</v>
      </c>
      <c r="L47" s="11" t="s">
        <v>91</v>
      </c>
      <c r="M47" s="22" t="s">
        <v>34</v>
      </c>
      <c r="N47" s="22" t="s">
        <v>35</v>
      </c>
      <c r="O47" s="22" t="s">
        <v>36</v>
      </c>
      <c r="P47" s="22" t="s">
        <v>29</v>
      </c>
      <c r="Q47" s="23" t="s">
        <v>31</v>
      </c>
      <c r="R47" s="36" t="s">
        <v>31</v>
      </c>
    </row>
    <row r="48" spans="1:18" x14ac:dyDescent="0.3">
      <c r="A48" s="45"/>
      <c r="C48" s="14" t="s">
        <v>61</v>
      </c>
      <c r="D48" s="2" t="s">
        <v>62</v>
      </c>
      <c r="E48" s="2" t="s">
        <v>65</v>
      </c>
      <c r="F48" s="2" t="s">
        <v>60</v>
      </c>
      <c r="G48" s="2" t="s">
        <v>59</v>
      </c>
      <c r="H48" s="15"/>
      <c r="I48" s="16"/>
      <c r="K48" s="17"/>
      <c r="L48" s="14"/>
      <c r="M48" s="2" t="s">
        <v>66</v>
      </c>
      <c r="N48" s="2" t="s">
        <v>66</v>
      </c>
      <c r="O48" s="2"/>
      <c r="P48" s="2" t="s">
        <v>67</v>
      </c>
      <c r="Q48" s="15" t="s">
        <v>97</v>
      </c>
      <c r="R48" s="37" t="s">
        <v>98</v>
      </c>
    </row>
    <row r="49" spans="1:18" x14ac:dyDescent="0.3">
      <c r="A49" s="45"/>
      <c r="B49" t="s">
        <v>37</v>
      </c>
      <c r="C49" s="16"/>
      <c r="H49" s="17"/>
      <c r="I49" s="14">
        <v>0</v>
      </c>
      <c r="J49" s="2">
        <v>0</v>
      </c>
      <c r="K49" s="30">
        <f t="shared" ref="K49:K51" si="0">(20.9-I49)/(20.9-J49)</f>
        <v>1</v>
      </c>
      <c r="L49" s="16"/>
      <c r="M49" s="2">
        <v>0.1</v>
      </c>
      <c r="N49" s="2"/>
      <c r="O49" s="2">
        <v>1</v>
      </c>
      <c r="P49" s="2">
        <v>50</v>
      </c>
      <c r="Q49" s="26">
        <f>(64/96)*(M49-N49)*O49*(250/P49)*L49</f>
        <v>0</v>
      </c>
      <c r="R49" s="38"/>
    </row>
    <row r="50" spans="1:18" x14ac:dyDescent="0.3">
      <c r="A50" s="45"/>
      <c r="B50" t="s">
        <v>93</v>
      </c>
      <c r="C50" s="14">
        <v>1</v>
      </c>
      <c r="D50" s="2">
        <v>500</v>
      </c>
      <c r="E50" s="2">
        <f>D50*C50</f>
        <v>500</v>
      </c>
      <c r="F50" s="2">
        <v>760</v>
      </c>
      <c r="G50" s="2">
        <v>25</v>
      </c>
      <c r="H50" s="18">
        <f>(C50*D50*F50*298)/((G50+273)*760)/1000</f>
        <v>0.5</v>
      </c>
      <c r="I50" s="14">
        <v>10</v>
      </c>
      <c r="J50" s="2">
        <v>10</v>
      </c>
      <c r="K50" s="18">
        <f t="shared" si="0"/>
        <v>1</v>
      </c>
      <c r="L50" s="25">
        <f>1/H50*K50</f>
        <v>2</v>
      </c>
      <c r="M50" s="2">
        <v>1.1000000000000001</v>
      </c>
      <c r="N50" s="2">
        <v>0.1</v>
      </c>
      <c r="O50" s="2">
        <v>1</v>
      </c>
      <c r="P50" s="2">
        <v>50</v>
      </c>
      <c r="Q50" s="32">
        <f>(64/96)*(M50-N50)*O50*(250/P50)*L50</f>
        <v>6.6666666666666661</v>
      </c>
      <c r="R50" s="39">
        <f>ROUND(Q50,2-(1+INT(LOG10(ABS(Q50)))))</f>
        <v>6.7</v>
      </c>
    </row>
    <row r="51" spans="1:18" x14ac:dyDescent="0.3">
      <c r="A51" s="45"/>
      <c r="B51" t="s">
        <v>94</v>
      </c>
      <c r="C51" s="14">
        <v>4</v>
      </c>
      <c r="D51" s="2">
        <v>125</v>
      </c>
      <c r="E51" s="2">
        <f>D51*C51</f>
        <v>500</v>
      </c>
      <c r="F51" s="2">
        <v>674</v>
      </c>
      <c r="G51" s="2">
        <v>20</v>
      </c>
      <c r="H51" s="18">
        <f>(C51*D51*F51*298)/((G51+273)*760)/1000</f>
        <v>0.4509879647925274</v>
      </c>
      <c r="I51" s="14">
        <v>3</v>
      </c>
      <c r="J51" s="2">
        <v>2</v>
      </c>
      <c r="K51" s="18">
        <f t="shared" si="0"/>
        <v>0.94708994708994709</v>
      </c>
      <c r="L51" s="25">
        <f>1/H51*K51</f>
        <v>2.1000337504031767</v>
      </c>
      <c r="M51" s="2">
        <v>10.1</v>
      </c>
      <c r="N51" s="2">
        <v>0.1</v>
      </c>
      <c r="O51" s="2">
        <v>1</v>
      </c>
      <c r="P51" s="2">
        <v>50</v>
      </c>
      <c r="Q51" s="32">
        <f>(64/96)*(M51-N51)*O51*(250/P51)*L51</f>
        <v>70.001125013439221</v>
      </c>
      <c r="R51" s="40">
        <f>ROUND(Q51,2-(1+INT(LOG10(ABS(Q51)))))</f>
        <v>70</v>
      </c>
    </row>
    <row r="52" spans="1:18" ht="15" thickBot="1" x14ac:dyDescent="0.35">
      <c r="A52" s="45"/>
      <c r="B52" t="s">
        <v>95</v>
      </c>
      <c r="C52" s="19">
        <v>2</v>
      </c>
      <c r="D52" s="20">
        <v>250</v>
      </c>
      <c r="E52" s="20">
        <f>D52*C52</f>
        <v>500</v>
      </c>
      <c r="F52" s="20">
        <v>674</v>
      </c>
      <c r="G52" s="20">
        <v>30</v>
      </c>
      <c r="H52" s="21">
        <f>(C52*D52*F52*298)/((G52+273)*760)/1000</f>
        <v>0.43610387354524927</v>
      </c>
      <c r="I52" s="19">
        <v>5</v>
      </c>
      <c r="J52" s="20">
        <v>10</v>
      </c>
      <c r="K52" s="21">
        <f>(20.9-I52)/(20.9-J52)</f>
        <v>1.4587155963302754</v>
      </c>
      <c r="L52" s="27">
        <f>1/H52*K52</f>
        <v>3.3448810818208012</v>
      </c>
      <c r="M52" s="20">
        <v>100.1</v>
      </c>
      <c r="N52" s="20">
        <v>0.1</v>
      </c>
      <c r="O52" s="20">
        <v>1</v>
      </c>
      <c r="P52" s="20">
        <v>50</v>
      </c>
      <c r="Q52" s="33">
        <f>(64/96)*(M52-N52)*O52*(250/P52)*L52</f>
        <v>1114.9603606069336</v>
      </c>
      <c r="R52" s="41">
        <f>ROUND(Q52,2-(1+INT(LOG10(ABS(Q52)))))</f>
        <v>1100</v>
      </c>
    </row>
  </sheetData>
  <mergeCells count="12">
    <mergeCell ref="A42:A52"/>
    <mergeCell ref="C42:R42"/>
    <mergeCell ref="C43:R43"/>
    <mergeCell ref="C44:R44"/>
    <mergeCell ref="C45:R45"/>
    <mergeCell ref="C46:R46"/>
    <mergeCell ref="C1:R1"/>
    <mergeCell ref="C2:R2"/>
    <mergeCell ref="C3:R3"/>
    <mergeCell ref="C4:R4"/>
    <mergeCell ref="C5:R5"/>
    <mergeCell ref="A1:A14"/>
  </mergeCells>
  <phoneticPr fontId="3" type="noConversion"/>
  <pageMargins left="0.511811024" right="0.511811024" top="0.78740157499999996" bottom="0.78740157499999996" header="0.31496062000000002" footer="0.3149606200000000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2C993-F565-4B56-BFBC-93B754B15F1F}">
  <dimension ref="A1"/>
  <sheetViews>
    <sheetView workbookViewId="0"/>
  </sheetViews>
  <sheetFormatPr defaultRowHeight="14.4" x14ac:dyDescent="0.3"/>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Air Volume</vt:lpstr>
      <vt:lpstr>SO2 calculation</vt:lpstr>
      <vt:lpstr>Air Volume test</vt:lpstr>
      <vt:lpstr>SO2 calculation test</vt:lpstr>
      <vt:lpstr>Planilha3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Orsi, Marino (Sao Bernardo do Campo)</dc:creator>
  <cp:lastModifiedBy>Orsi, Marino (Sao Bernardo do Campo)</cp:lastModifiedBy>
  <dcterms:created xsi:type="dcterms:W3CDTF">2023-09-27T14:13:52Z</dcterms:created>
  <dcterms:modified xsi:type="dcterms:W3CDTF">2023-10-06T20:28:58Z</dcterms:modified>
</cp:coreProperties>
</file>